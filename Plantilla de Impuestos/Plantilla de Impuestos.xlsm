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8502acadc62490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\OneDrive\Escritorio\Sistema\os\pi\"/>
    </mc:Choice>
  </mc:AlternateContent>
  <bookViews>
    <workbookView xWindow="-110" yWindow="-110" windowWidth="23260" windowHeight="12580" tabRatio="880"/>
  </bookViews>
  <sheets>
    <sheet name="RESUMEN" sheetId="6" r:id="rId1"/>
    <sheet name="FACTURA" sheetId="7" r:id="rId2"/>
    <sheet name="NOTA CREDITO" sheetId="9" r:id="rId3"/>
    <sheet name="DIARIO" sheetId="13" r:id="rId4"/>
    <sheet name="REVISION" sheetId="14" r:id="rId5"/>
    <sheet name="ANALISIS" sheetId="10" r:id="rId6"/>
    <sheet name="CRITERIOS" sheetId="12" r:id="rId7"/>
  </sheets>
  <functionGroups builtInGroupCount="18"/>
  <definedNames>
    <definedName name="FACTURA">CRITERIOS!$D$2</definedName>
    <definedName name="NOTA_DE_CREDITO">CRITERIOS!$D$3</definedName>
  </definedNames>
  <calcPr calcId="152511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3" l="1"/>
  <c r="E2" i="13"/>
  <c r="F2" i="13"/>
  <c r="G2" i="13"/>
  <c r="H2" i="13"/>
  <c r="I2" i="13"/>
  <c r="D3" i="13"/>
  <c r="E3" i="13"/>
  <c r="F3" i="13"/>
  <c r="D4" i="13"/>
  <c r="E4" i="13"/>
  <c r="F4" i="13"/>
  <c r="G4" i="13"/>
  <c r="H4" i="13"/>
  <c r="I4" i="13"/>
  <c r="D5" i="13"/>
  <c r="E5" i="13"/>
  <c r="F5" i="13"/>
  <c r="G5" i="13"/>
  <c r="H5" i="13"/>
  <c r="I5" i="13"/>
  <c r="D6" i="13"/>
  <c r="E6" i="13"/>
  <c r="F6" i="13"/>
  <c r="G6" i="13"/>
  <c r="H6" i="13"/>
  <c r="I6" i="13"/>
  <c r="D7" i="13"/>
  <c r="E7" i="13"/>
  <c r="F7" i="13"/>
  <c r="G7" i="13"/>
  <c r="H7" i="13"/>
  <c r="I7" i="13"/>
  <c r="D8" i="13"/>
  <c r="E8" i="13"/>
  <c r="F8" i="13"/>
  <c r="G8" i="13"/>
  <c r="H8" i="13"/>
  <c r="I8" i="13"/>
  <c r="D9" i="13"/>
  <c r="E9" i="13"/>
  <c r="F9" i="13"/>
  <c r="D10" i="13"/>
  <c r="E10" i="13"/>
  <c r="F10" i="13"/>
  <c r="G10" i="13"/>
  <c r="H10" i="13"/>
  <c r="I10" i="13"/>
  <c r="D11" i="13"/>
  <c r="E11" i="13"/>
  <c r="F11" i="13"/>
  <c r="G11" i="13"/>
  <c r="H11" i="13"/>
  <c r="I11" i="13"/>
  <c r="J2" i="7"/>
  <c r="F2" i="7"/>
  <c r="G9" i="13" s="1"/>
  <c r="G2" i="7"/>
  <c r="H9" i="13" s="1"/>
  <c r="F2" i="9"/>
  <c r="G3" i="13" s="1"/>
  <c r="G2" i="9"/>
  <c r="H3" i="13" s="1"/>
  <c r="J2" i="9"/>
  <c r="H12" i="13" l="1"/>
  <c r="G12" i="13"/>
  <c r="F12" i="13"/>
  <c r="H2" i="7"/>
  <c r="I9" i="13" s="1"/>
  <c r="E12" i="13"/>
  <c r="D12" i="13"/>
  <c r="H2" i="9"/>
  <c r="I3" i="13" s="1"/>
  <c r="I12" i="13" l="1"/>
  <c r="I9" i="14"/>
  <c r="B3" i="7" l="1"/>
  <c r="B21" i="14" l="1"/>
  <c r="B22" i="14"/>
  <c r="B10" i="14"/>
  <c r="B25" i="14"/>
  <c r="B9" i="14" l="1"/>
  <c r="B17" i="14"/>
  <c r="B18" i="14"/>
  <c r="B19" i="14"/>
  <c r="N9" i="14" l="1"/>
  <c r="M9" i="14"/>
  <c r="L9" i="14"/>
  <c r="K9" i="14"/>
  <c r="J9" i="14"/>
  <c r="H9" i="14"/>
  <c r="G9" i="14"/>
  <c r="F9" i="14"/>
  <c r="E9" i="14"/>
  <c r="P9" i="14"/>
  <c r="D5" i="14"/>
  <c r="B5" i="14" l="1"/>
  <c r="B7" i="14" l="1"/>
  <c r="O9" i="14" s="1"/>
  <c r="L5" i="14" l="1"/>
  <c r="B4" i="14"/>
  <c r="O5" i="14" s="1"/>
  <c r="J5" i="14" l="1"/>
  <c r="B23" i="14"/>
  <c r="K5" i="14" s="1"/>
  <c r="I5" i="14" l="1"/>
  <c r="F37" i="6"/>
  <c r="G26" i="6"/>
  <c r="F26" i="6"/>
  <c r="E26" i="6"/>
  <c r="D26" i="6"/>
  <c r="C26" i="6"/>
  <c r="B26" i="6"/>
  <c r="G19" i="6"/>
  <c r="F19" i="6"/>
  <c r="E19" i="6"/>
  <c r="D19" i="6"/>
  <c r="C19" i="6"/>
  <c r="B19" i="6"/>
  <c r="G17" i="6"/>
  <c r="F17" i="6"/>
  <c r="E17" i="6"/>
  <c r="D17" i="6"/>
  <c r="C17" i="6"/>
  <c r="B17" i="6"/>
  <c r="G9" i="6"/>
  <c r="F9" i="6"/>
  <c r="E9" i="6"/>
  <c r="D9" i="6"/>
  <c r="C9" i="6"/>
  <c r="B9" i="6"/>
  <c r="D7" i="6"/>
  <c r="C7" i="6"/>
  <c r="B7" i="6"/>
  <c r="E34" i="6" l="1"/>
  <c r="D34" i="6"/>
  <c r="B34" i="6"/>
  <c r="B6" i="14" l="1"/>
  <c r="F7" i="6"/>
  <c r="C34" i="6" s="1"/>
  <c r="G34" i="6" s="1"/>
  <c r="E7" i="6"/>
  <c r="F5" i="14" l="1"/>
  <c r="G7" i="6"/>
  <c r="G5" i="14" l="1"/>
  <c r="H5" i="14"/>
  <c r="B15" i="14"/>
  <c r="G25" i="6"/>
  <c r="F25" i="6"/>
  <c r="B25" i="6"/>
  <c r="E25" i="6"/>
  <c r="D25" i="6"/>
  <c r="C25" i="6"/>
  <c r="B18" i="6"/>
  <c r="D18" i="6"/>
  <c r="C18" i="6"/>
  <c r="D35" i="6" s="1"/>
  <c r="B16" i="6"/>
  <c r="D16" i="6"/>
  <c r="C16" i="6"/>
  <c r="D33" i="6" s="1"/>
  <c r="B8" i="6"/>
  <c r="D8" i="6"/>
  <c r="C8" i="6"/>
  <c r="B35" i="6" s="1"/>
  <c r="B6" i="6"/>
  <c r="D6" i="6"/>
  <c r="C6" i="6"/>
  <c r="B33" i="6" s="1"/>
  <c r="E5" i="14" l="1"/>
  <c r="P5" i="14"/>
  <c r="E6" i="6"/>
  <c r="F8" i="6"/>
  <c r="C35" i="6" s="1"/>
  <c r="E16" i="6"/>
  <c r="F16" i="6"/>
  <c r="E33" i="6" s="1"/>
  <c r="F18" i="6"/>
  <c r="E35" i="6" s="1"/>
  <c r="E8" i="6"/>
  <c r="E18" i="6"/>
  <c r="G35" i="6" l="1"/>
  <c r="G16" i="6"/>
  <c r="G18" i="6"/>
  <c r="G8" i="6"/>
  <c r="G20" i="6" l="1"/>
  <c r="B27" i="6"/>
  <c r="C27" i="6" l="1"/>
  <c r="B20" i="6"/>
  <c r="D27" i="6"/>
  <c r="E36" i="6" s="1"/>
  <c r="E37" i="6" s="1"/>
  <c r="E27" i="6"/>
  <c r="B10" i="6"/>
  <c r="D10" i="6"/>
  <c r="B36" i="6" s="1"/>
  <c r="D20" i="6"/>
  <c r="D36" i="6" s="1"/>
  <c r="D37" i="6" s="1"/>
  <c r="C20" i="6"/>
  <c r="C10" i="6"/>
  <c r="F27" i="6"/>
  <c r="E20" i="6"/>
  <c r="J7" i="6"/>
  <c r="G36" i="6" l="1"/>
  <c r="I16" i="6" s="1"/>
  <c r="B37" i="6"/>
  <c r="E10" i="6"/>
  <c r="E30" i="6" s="1"/>
  <c r="F20" i="6"/>
  <c r="C30" i="6"/>
  <c r="B30" i="6"/>
  <c r="D30" i="6"/>
  <c r="G27" i="6"/>
  <c r="J16" i="6" l="1"/>
  <c r="F6" i="6"/>
  <c r="F10" i="6" l="1"/>
  <c r="F30" i="6" s="1"/>
  <c r="C33" i="6"/>
  <c r="G6" i="6"/>
  <c r="G10" i="6" s="1"/>
  <c r="G30" i="6" s="1"/>
  <c r="C37" i="6" l="1"/>
  <c r="G37" i="6" s="1"/>
  <c r="G33" i="6"/>
  <c r="J37" i="6" s="1"/>
  <c r="I7" i="6" l="1"/>
  <c r="J22" i="6" s="1"/>
  <c r="J29" i="6" l="1"/>
</calcChain>
</file>

<file path=xl/sharedStrings.xml><?xml version="1.0" encoding="utf-8"?>
<sst xmlns="http://schemas.openxmlformats.org/spreadsheetml/2006/main" count="164" uniqueCount="72">
  <si>
    <t>Total</t>
  </si>
  <si>
    <t>CxCobrar</t>
  </si>
  <si>
    <t>ITBMS</t>
  </si>
  <si>
    <t>Descto.</t>
  </si>
  <si>
    <t>Sub-Total</t>
  </si>
  <si>
    <t>Exentas</t>
  </si>
  <si>
    <t>CREDITO 7%</t>
  </si>
  <si>
    <t>CONTADO 7%</t>
  </si>
  <si>
    <t>CREDITO 10%</t>
  </si>
  <si>
    <t>CONTADO 10%</t>
  </si>
  <si>
    <t>CONTADO 15%</t>
  </si>
  <si>
    <t>INFORME DE VENTA PARA ITBMS</t>
  </si>
  <si>
    <t>Gravada</t>
  </si>
  <si>
    <t>Credito</t>
  </si>
  <si>
    <t xml:space="preserve">Credito </t>
  </si>
  <si>
    <t>Contado</t>
  </si>
  <si>
    <t>N/C</t>
  </si>
  <si>
    <t>TOTAL</t>
  </si>
  <si>
    <t>EXENTAS</t>
  </si>
  <si>
    <t>NC</t>
  </si>
  <si>
    <t>TOTAL FINAL</t>
  </si>
  <si>
    <t>CREDITO</t>
  </si>
  <si>
    <t>CONTADO</t>
  </si>
  <si>
    <t>FECHA</t>
  </si>
  <si>
    <t>FACTURA</t>
  </si>
  <si>
    <t>CATEGORIA</t>
  </si>
  <si>
    <t>GRAVADAS</t>
  </si>
  <si>
    <t>CXCOBRAR</t>
  </si>
  <si>
    <t xml:space="preserve">PORCENTAJE </t>
  </si>
  <si>
    <t>NOTA DE CREDITO</t>
  </si>
  <si>
    <t>SUB_TOTAL1</t>
  </si>
  <si>
    <t>CATEGORIAS</t>
  </si>
  <si>
    <t>DOCUMENTO</t>
  </si>
  <si>
    <t>DESCUENTOS</t>
  </si>
  <si>
    <t xml:space="preserve">SUB_TOTAL </t>
  </si>
  <si>
    <t>SUB TOTAL</t>
  </si>
  <si>
    <t>NOMBRE</t>
  </si>
  <si>
    <t>ITBMS 7%</t>
  </si>
  <si>
    <t>ITBMS 10%</t>
  </si>
  <si>
    <t>ITBMS 15%</t>
  </si>
  <si>
    <t>TOTAL NETO VENTA</t>
  </si>
  <si>
    <t>TOTAL NETO CREDITO</t>
  </si>
  <si>
    <t>TOTAL NETO NOTA DEBITO</t>
  </si>
  <si>
    <t>EFECTIVO</t>
  </si>
  <si>
    <t>TARJETA 2</t>
  </si>
  <si>
    <t>TOTAL GAVETA</t>
  </si>
  <si>
    <t>TOTAL VENTA</t>
  </si>
  <si>
    <t>ITBMS VENTA</t>
  </si>
  <si>
    <t>SUBTOTAL NOTA CREDITO</t>
  </si>
  <si>
    <t>ITBMS NOTA CREDITO</t>
  </si>
  <si>
    <t>TOTAL NOTA DE CREDITO</t>
  </si>
  <si>
    <t>EXENTA</t>
  </si>
  <si>
    <t>RESUMEN</t>
  </si>
  <si>
    <t>MONTO</t>
  </si>
  <si>
    <t>SUB TOTAL VENTA</t>
  </si>
  <si>
    <t>ITBMS DESCUENTO</t>
  </si>
  <si>
    <t>TOTAL DESCUENTO</t>
  </si>
  <si>
    <t>REGISTRO DUPLICADO</t>
  </si>
  <si>
    <t>Cuenta de FACTURA</t>
  </si>
  <si>
    <t>Etiquetas de columna</t>
  </si>
  <si>
    <t>Cuenta de NOTA DE CREDITO</t>
  </si>
  <si>
    <t>GAVETA</t>
  </si>
  <si>
    <t>VENTAS</t>
  </si>
  <si>
    <t>DEV</t>
  </si>
  <si>
    <t>ITBMS2</t>
  </si>
  <si>
    <t>TOTAL2</t>
  </si>
  <si>
    <t>DESC</t>
  </si>
  <si>
    <t>ITBMS3</t>
  </si>
  <si>
    <t>TOTAL1</t>
  </si>
  <si>
    <t>TOTAL3</t>
  </si>
  <si>
    <t>(en blanco)</t>
  </si>
  <si>
    <t>MENSUAL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</si>
</sst>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B/.&quot;* #,##0.00_);_(&quot;B/.&quot;* \(#,##0.00\);_(&quot;B/.&quot;* &quot;-&quot;??_);_(@_)"/>
    <numFmt numFmtId="165" formatCode="_(* #,##0.00_);_(* \(#,##0.00\);_(* &quot;-&quot;??_);_(@_)"/>
  </numFmts>
  <fonts count="12" x14ac:knownFonts="1">
    <font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/>
    </xf>
    <xf numFmtId="4" fontId="0" fillId="0" borderId="1" xfId="0" applyNumberFormat="1" applyBorder="1"/>
    <xf numFmtId="0" fontId="2" fillId="3" borderId="1" xfId="0" applyFont="1" applyFill="1" applyBorder="1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/>
    </xf>
    <xf numFmtId="4" fontId="0" fillId="0" borderId="0" xfId="0" applyNumberFormat="1"/>
    <xf numFmtId="0" fontId="4" fillId="0" borderId="3" xfId="0" applyFont="1" applyBorder="1" applyAlignment="1">
      <alignment horizontal="center"/>
    </xf>
    <xf numFmtId="4" fontId="2" fillId="0" borderId="1" xfId="0" applyNumberFormat="1" applyFont="1" applyBorder="1"/>
    <xf numFmtId="4" fontId="2" fillId="0" borderId="0" xfId="0" applyNumberFormat="1" applyFont="1"/>
    <xf numFmtId="4" fontId="2" fillId="3" borderId="1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4" fontId="2" fillId="0" borderId="6" xfId="0" applyNumberFormat="1" applyFont="1" applyBorder="1"/>
    <xf numFmtId="0" fontId="4" fillId="0" borderId="0" xfId="0" applyFont="1" applyAlignment="1">
      <alignment horizontal="center"/>
    </xf>
    <xf numFmtId="4" fontId="0" fillId="2" borderId="0" xfId="0" applyNumberFormat="1" applyFill="1"/>
    <xf numFmtId="4" fontId="2" fillId="0" borderId="7" xfId="0" applyNumberFormat="1" applyFont="1" applyBorder="1"/>
    <xf numFmtId="9" fontId="3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/>
    <xf numFmtId="165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5" fillId="6" borderId="8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1" xfId="0" applyBorder="1"/>
    <xf numFmtId="4" fontId="0" fillId="0" borderId="12" xfId="0" applyNumberFormat="1" applyBorder="1"/>
    <xf numFmtId="0" fontId="0" fillId="0" borderId="13" xfId="0" applyBorder="1"/>
    <xf numFmtId="4" fontId="2" fillId="0" borderId="14" xfId="0" applyNumberFormat="1" applyFont="1" applyBorder="1"/>
    <xf numFmtId="4" fontId="2" fillId="0" borderId="15" xfId="0" applyNumberFormat="1" applyFont="1" applyBorder="1"/>
    <xf numFmtId="0" fontId="0" fillId="0" borderId="16" xfId="0" applyBorder="1"/>
    <xf numFmtId="4" fontId="0" fillId="0" borderId="2" xfId="0" applyNumberFormat="1" applyBorder="1"/>
    <xf numFmtId="4" fontId="0" fillId="0" borderId="17" xfId="0" applyNumberFormat="1" applyBorder="1"/>
    <xf numFmtId="0" fontId="2" fillId="0" borderId="18" xfId="0" applyFont="1" applyBorder="1" applyAlignment="1">
      <alignment horizontal="center" vertical="center"/>
    </xf>
    <xf numFmtId="0" fontId="0" fillId="0" borderId="6" xfId="0" applyBorder="1"/>
    <xf numFmtId="9" fontId="2" fillId="0" borderId="19" xfId="0" applyNumberFormat="1" applyFont="1" applyBorder="1" applyAlignment="1">
      <alignment vertical="center"/>
    </xf>
    <xf numFmtId="9" fontId="2" fillId="0" borderId="20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6" fillId="0" borderId="0" xfId="0" pivotButton="1" applyFont="1"/>
    <xf numFmtId="0" fontId="6" fillId="0" borderId="0" xfId="0" applyFont="1"/>
    <xf numFmtId="0" fontId="6" fillId="0" borderId="0" xfId="0" applyFont="1" applyAlignment="1">
      <alignment horizontal="left"/>
    </xf>
    <xf numFmtId="164" fontId="6" fillId="0" borderId="0" xfId="0" applyNumberFormat="1" applyFont="1"/>
    <xf numFmtId="164" fontId="0" fillId="0" borderId="1" xfId="0" applyNumberFormat="1" applyBorder="1"/>
    <xf numFmtId="0" fontId="2" fillId="0" borderId="1" xfId="0" applyFont="1" applyBorder="1" applyAlignment="1">
      <alignment horizontal="left" indent="1"/>
    </xf>
    <xf numFmtId="164" fontId="0" fillId="0" borderId="1" xfId="0" applyNumberFormat="1" applyBorder="1" applyAlignment="1">
      <alignment horizontal="right"/>
    </xf>
    <xf numFmtId="0" fontId="8" fillId="7" borderId="1" xfId="0" applyFont="1" applyFill="1" applyBorder="1" applyAlignment="1">
      <alignment horizontal="center"/>
    </xf>
    <xf numFmtId="0" fontId="0" fillId="0" borderId="0" xfId="0" applyNumberFormat="1"/>
    <xf numFmtId="14" fontId="6" fillId="0" borderId="0" xfId="0" applyNumberFormat="1" applyFont="1" applyAlignment="1">
      <alignment horizontal="left"/>
    </xf>
    <xf numFmtId="0" fontId="6" fillId="0" borderId="0" xfId="0" applyNumberFormat="1" applyFont="1"/>
    <xf numFmtId="0" fontId="6" fillId="0" borderId="0" xfId="0" applyNumberFormat="1" applyFont="1" applyAlignment="1">
      <alignment horizontal="center" vertical="center"/>
    </xf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0" fontId="6" fillId="0" borderId="0" xfId="0" pivotButton="1" applyFont="1" applyAlignment="1">
      <alignment horizontal="center" vertical="center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left" vertical="center"/>
    </xf>
    <xf numFmtId="4" fontId="10" fillId="2" borderId="0" xfId="0" applyNumberFormat="1" applyFont="1" applyFill="1"/>
    <xf numFmtId="0" fontId="0" fillId="0" borderId="0" xfId="0" applyAlignment="1">
      <alignment horizontal="left"/>
    </xf>
    <xf numFmtId="165" fontId="0" fillId="0" borderId="0" xfId="0" applyNumberFormat="1" applyAlignment="1">
      <alignment horizontal="left" vertical="center" wrapText="1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vertical="center"/>
    </xf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</cellXfs>
  <cellStyles count="1">
    <cellStyle name="Normal" xfId="0" builtinId="0"/>
  </cellStyles>
  <dxfs count="143"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9" formatCode="d/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textRotation="0" indent="0" justifyLastLine="0" shrinkToFit="0" readingOrder="0"/>
    </dxf>
    <dxf>
      <numFmt numFmtId="165" formatCode="_(* #,##0.00_);_(* \(#,##0.00\);_(* &quot;-&quot;??_);_(@_)"/>
      <alignment horizontal="center" textRotation="0" indent="0" justifyLastLine="0" shrinkToFit="0" readingOrder="0"/>
    </dxf>
    <dxf>
      <numFmt numFmtId="165" formatCode="_(* #,##0.00_);_(* \(#,##0.00\);_(* &quot;-&quot;??_);_(@_)"/>
      <alignment horizontal="center" textRotation="0" indent="0" justifyLastLine="0" shrinkToFit="0" readingOrder="0"/>
    </dxf>
    <dxf>
      <numFmt numFmtId="165" formatCode="_(* #,##0.00_);_(* \(#,##0.00\);_(* &quot;-&quot;??_);_(@_)"/>
      <alignment horizontal="center" vertical="center" textRotation="0" wrapText="1" indent="0" justifyLastLine="0" shrinkToFit="0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wrapText="1"/>
    </dxf>
    <dxf>
      <alignment vertical="center"/>
    </dxf>
    <dxf>
      <alignment horizontal="center"/>
    </dxf>
    <dxf>
      <numFmt numFmtId="164" formatCode="_(&quot;B/.&quot;* #,##0.00_);_(&quot;B/.&quot;* \(#,##0.00\);_(&quot;B/.&quot;* &quot;-&quot;??_);_(@_)"/>
    </dxf>
    <dxf>
      <numFmt numFmtId="165" formatCode="_(* #,##0.00_);_(* \(#,##0.00\);_(* &quot;-&quot;??_);_(@_)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164" formatCode="_(&quot;B/.&quot;* #,##0.00_);_(&quot;B/.&quot;* \(#,##0.00\);_(&quot;B/.&quot;* &quot;-&quot;??_);_(@_)"/>
    </dxf>
    <dxf>
      <alignment vertical="center"/>
    </dxf>
    <dxf>
      <alignment horizontal="center"/>
    </dxf>
    <dxf>
      <alignment wrapText="1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6" formatCode="m/d/yyyy"/>
      <alignment horizontal="center" vertical="bottom" textRotation="0" wrapText="0" indent="0" justifyLastLine="0" shrinkToFit="0" readingOrder="0"/>
    </dxf>
    <dxf>
      <numFmt numFmtId="164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  <alignment horizontal="center" textRotation="0" wrapText="0" indent="0" justifyLastLine="0" shrinkToFit="0" readingOrder="0"/>
    </dxf>
    <dxf>
      <numFmt numFmtId="164" formatCode="_(&quot;B/.&quot;* #,##0.00_);_(&quot;B/.&quot;* \(#,##0.00\);_(&quot;B/.&quot;* &quot;-&quot;??_);_(@_)"/>
    </dxf>
    <dxf>
      <numFmt numFmtId="164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  <alignment horizontal="center" textRotation="0" indent="0" justifyLastLine="0" shrinkToFit="0" readingOrder="0"/>
    </dxf>
    <dxf>
      <numFmt numFmtId="165" formatCode="_(* #,##0.00_);_(* \(#,##0.00\);_(* &quot;-&quot;??_);_(@_)"/>
      <alignment horizontal="center" vertical="center" textRotation="0" indent="0" justifyLastLine="0" shrinkToFit="0" readingOrder="0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165" formatCode="_(* #,##0.00_);_(* \(#,##0.00\);_(* &quot;-&quot;??_);_(@_)"/>
      <alignment horizontal="center" textRotation="0" indent="0" justifyLastLine="0" shrinkToFit="0" readingOrder="0"/>
    </dxf>
    <dxf>
      <numFmt numFmtId="165" formatCode="_(* #,##0.00_);_(* \(#,##0.00\);_(* &quot;-&quot;??_);_(@_)"/>
    </dxf>
    <dxf>
      <numFmt numFmtId="165" formatCode="_(* #,##0.00_);_(* \(#,##0.00\);_(* &quot;-&quot;??_);_(@_)"/>
      <alignment horizontal="center" vertical="center" textRotation="0" wrapText="1" indent="0" justifyLastLine="0" shrinkToFit="0" readingOrder="0"/>
    </dxf>
    <dxf>
      <numFmt numFmtId="165" formatCode="_(* #,##0.00_);_(* \(#,##0.00\);_(* &quot;-&quot;??_);_(@_)"/>
      <alignment horizontal="center" textRotation="0" indent="0" justifyLastLine="0" shrinkToFit="0" readingOrder="0"/>
    </dxf>
    <dxf>
      <numFmt numFmtId="165" formatCode="_(* #,##0.00_);_(* \(#,##0.00\);_(* &quot;-&quot;??_);_(@_)"/>
      <alignment horizontal="center" vertical="center" textRotation="0" wrapText="0" indent="0" justifyLastLine="0" shrinkToFit="0" readingOrder="0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0" formatCode="General"/>
      <alignment horizontal="center" vertical="center" textRotation="0" indent="0" justifyLastLine="0" shrinkToFit="0" readingOrder="0"/>
    </dxf>
    <dxf>
      <numFmt numFmtId="165" formatCode="_(* #,##0.00_);_(* \(#,##0.00\);_(* &quot;-&quot;??_);_(@_)"/>
      <alignment horizontal="center" textRotation="0" indent="0" justifyLastLine="0" shrinkToFit="0" readingOrder="0"/>
    </dxf>
    <dxf>
      <numFmt numFmtId="165" formatCode="_(* #,##0.00_);_(* \(#,##0.00\);_(* &quot;-&quot;??_);_(@_)"/>
    </dxf>
    <dxf>
      <numFmt numFmtId="165" formatCode="_(* #,##0.00_);_(* \(#,##0.00\);_(* &quot;-&quot;??_);_(@_)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112059</xdr:rowOff>
    </xdr:from>
    <xdr:to>
      <xdr:col>4</xdr:col>
      <xdr:colOff>537882</xdr:colOff>
      <xdr:row>2</xdr:row>
      <xdr:rowOff>78441</xdr:rowOff>
    </xdr:to>
    <xdr:sp macro="[0]!ClearTable" textlink="">
      <xdr:nvSpPr>
        <xdr:cNvPr id="2" name="Redondear rectángulo de esquina sencilla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3888441" y="112059"/>
          <a:ext cx="1882588" cy="369794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A" sz="1600"/>
            <a:t>LIMPIAR</a:t>
          </a:r>
          <a:r>
            <a:rPr lang="es-PA" sz="1600" baseline="0"/>
            <a:t> TABLA</a:t>
          </a:r>
          <a:endParaRPr lang="es-PA" sz="16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cepcion" refreshedDate="43743.462045023145" createdVersion="6" refreshedVersion="5" minRefreshableVersion="3" recordCount="1">
  <cacheSource type="worksheet">
    <worksheetSource name="Tbl_Factura"/>
  </cacheSource>
  <cacheFields count="10">
    <cacheField name="FECHA" numFmtId="14">
      <sharedItems containsNonDate="0" containsDate="1" containsBlank="1" containsMixedTypes="1" minDate="2019-03-01T00:00:00" maxDate="2019-08-01T00:00:00" count="81">
        <m/>
        <d v="2019-07-22T00:00:00" u="1"/>
        <d v="2019-04-16T00:00:00" u="1"/>
        <d v="2019-07-18T00:00:00" u="1"/>
        <d v="2019-04-12T00:00:00" u="1"/>
        <d v="2019-04-08T00:00:00" u="1"/>
        <d v="2019-07-10T00:00:00" u="1"/>
        <d v="2019-04-04T00:00:00" u="1"/>
        <d v="2019-07-06T00:00:00" u="1"/>
        <d v="2019-07-02T00:00:00" u="1"/>
        <d v="2019-06-13T00:00:00" u="1"/>
        <d v="2019-05-28T00:00:00" u="1"/>
        <d v="2019-05-24T00:00:00" u="1"/>
        <d v="2019-06-05T00:00:00" u="1"/>
        <d v="2019-05-20T00:00:00" u="1"/>
        <d v="2019-06-01T00:00:00" u="1"/>
        <d v="2019-05-16T00:00:00" u="1"/>
        <d v="2019-07-29T00:00:00" u="1"/>
        <d v="2019-05-08T00:00:00" u="1"/>
        <d v="2019-07-25T00:00:00" u="1"/>
        <d v="2019-05-04T00:00:00" u="1"/>
        <d v="2019-04-15T00:00:00" u="1"/>
        <d v="2019-07-17T00:00:00" u="1"/>
        <d v="2019-04-11T00:00:00" u="1"/>
        <d v="2019-07-13T00:00:00" u="1"/>
        <d v="2019-07-09T00:00:00" u="1"/>
        <d v="2019-04-03T00:00:00" u="1"/>
        <d v="2019-07-05T00:00:00" u="1"/>
        <d v="2019-05-31T00:00:00" u="1"/>
        <d v="2019-06-12T00:00:00" u="1"/>
        <d v="2019-05-27T00:00:00" u="1"/>
        <d v="2019-06-08T00:00:00" u="1"/>
        <d v="2019-05-23T00:00:00" u="1"/>
        <d v="2019-06-04T00:00:00" u="1"/>
        <d v="2019-05-15T00:00:00" u="1"/>
        <d v="2019-04-30T00:00:00" u="1"/>
        <d v="2019-05-11T00:00:00" u="1"/>
        <s v="31/0/2019" u="1"/>
        <d v="2019-05-07T00:00:00" u="1"/>
        <d v="2019-07-24T00:00:00" u="1"/>
        <d v="2019-05-03T00:00:00" u="1"/>
        <d v="2019-07-20T00:00:00" u="1"/>
        <d v="2019-07-16T00:00:00" u="1"/>
        <d v="2019-04-10T00:00:00" u="1"/>
        <d v="2019-07-12T00:00:00" u="1"/>
        <d v="2019-04-06T00:00:00" u="1"/>
        <d v="2019-07-08T00:00:00" u="1"/>
        <d v="2019-04-02T00:00:00" u="1"/>
        <d v="2019-07-04T00:00:00" u="1"/>
        <d v="2019-05-30T00:00:00" u="1"/>
        <d v="2019-06-11T00:00:00" u="1"/>
        <d v="2019-06-07T00:00:00" u="1"/>
        <d v="2019-05-22T00:00:00" u="1"/>
        <d v="2019-03-01T00:00:00" u="1"/>
        <d v="2019-06-03T00:00:00" u="1"/>
        <d v="2019-05-18T00:00:00" u="1"/>
        <d v="2019-05-14T00:00:00" u="1"/>
        <d v="2019-07-31T00:00:00" u="1"/>
        <d v="2019-05-10T00:00:00" u="1"/>
        <d v="2019-07-27T00:00:00" u="1"/>
        <d v="2019-05-06T00:00:00" u="1"/>
        <d v="2019-07-23T00:00:00" u="1"/>
        <d v="2019-05-02T00:00:00" u="1"/>
        <d v="2019-07-19T00:00:00" u="1"/>
        <d v="2019-04-13T00:00:00" u="1"/>
        <d v="2019-07-15T00:00:00" u="1"/>
        <d v="2019-04-09T00:00:00" u="1"/>
        <d v="2019-07-11T00:00:00" u="1"/>
        <d v="2019-04-05T00:00:00" u="1"/>
        <d v="2019-04-01T00:00:00" u="1"/>
        <d v="2019-07-03T00:00:00" u="1"/>
        <d v="2019-05-29T00:00:00" u="1"/>
        <d v="2019-06-10T00:00:00" u="1"/>
        <d v="2019-05-25T00:00:00" u="1"/>
        <d v="2019-06-06T00:00:00" u="1"/>
        <d v="2019-05-21T00:00:00" u="1"/>
        <d v="2019-05-17T00:00:00" u="1"/>
        <d v="2019-05-13T00:00:00" u="1"/>
        <d v="2019-07-30T00:00:00" u="1"/>
        <d v="2019-05-09T00:00:00" u="1"/>
        <d v="2019-07-26T00:00:00" u="1"/>
      </sharedItems>
    </cacheField>
    <cacheField name="FACTURA" numFmtId="0">
      <sharedItems containsNonDate="0" containsString="0" containsBlank="1"/>
    </cacheField>
    <cacheField name="DESCUENTOS" numFmtId="165">
      <sharedItems containsNonDate="0" containsString="0" containsBlank="1"/>
    </cacheField>
    <cacheField name="GRAVADAS" numFmtId="165">
      <sharedItems containsNonDate="0" containsString="0" containsBlank="1"/>
    </cacheField>
    <cacheField name="EXENTAS" numFmtId="165">
      <sharedItems containsNonDate="0" containsString="0" containsBlank="1"/>
    </cacheField>
    <cacheField name="SUB_TOTAL " numFmtId="165">
      <sharedItems containsNonDate="0" containsString="0" containsBlank="1"/>
    </cacheField>
    <cacheField name="ITBMS" numFmtId="165">
      <sharedItems containsNonDate="0" containsString="0" containsBlank="1"/>
    </cacheField>
    <cacheField name="CXCOBRAR" numFmtId="165">
      <sharedItems containsNonDate="0" containsString="0" containsBlank="1"/>
    </cacheField>
    <cacheField name="CATEGORIA" numFmtId="165">
      <sharedItems containsNonDate="0" containsBlank="1" count="5">
        <m/>
        <s v="CONTADO 7%" u="1"/>
        <s v="CREDITO 7%" u="1"/>
        <s v="CONTADO 10%" u="1"/>
        <s v="CREDITO 10%" u="1"/>
      </sharedItems>
    </cacheField>
    <cacheField name="REGISTRO DUPLICADO" numFmtId="165">
      <sharedItems containsNonDate="0" containsBlank="1" count="4">
        <m/>
        <s v="REFERENCIA REPETIDA" u="1"/>
        <s v=" " u="1"/>
        <s v="-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ecepcion" refreshedDate="43743.462117939816" createdVersion="6" refreshedVersion="5" minRefreshableVersion="3" recordCount="1">
  <cacheSource type="worksheet">
    <worksheetSource name="Tbl_Nota"/>
  </cacheSource>
  <cacheFields count="10">
    <cacheField name="FECHA" numFmtId="14">
      <sharedItems containsNonDate="0" containsDate="1" containsString="0" containsBlank="1" minDate="2019-03-01T00:00:00" maxDate="2019-08-01T00:00:00" count="79">
        <m/>
        <d v="2019-07-22T00:00:00" u="1"/>
        <d v="2019-04-16T00:00:00" u="1"/>
        <d v="2019-07-18T00:00:00" u="1"/>
        <d v="2019-04-12T00:00:00" u="1"/>
        <d v="2019-04-08T00:00:00" u="1"/>
        <d v="2019-07-10T00:00:00" u="1"/>
        <d v="2019-04-04T00:00:00" u="1"/>
        <d v="2019-07-06T00:00:00" u="1"/>
        <d v="2019-07-02T00:00:00" u="1"/>
        <d v="2019-06-13T00:00:00" u="1"/>
        <d v="2019-05-28T00:00:00" u="1"/>
        <d v="2019-05-24T00:00:00" u="1"/>
        <d v="2019-06-05T00:00:00" u="1"/>
        <d v="2019-05-20T00:00:00" u="1"/>
        <d v="2019-06-01T00:00:00" u="1"/>
        <d v="2019-05-16T00:00:00" u="1"/>
        <d v="2019-07-29T00:00:00" u="1"/>
        <d v="2019-05-08T00:00:00" u="1"/>
        <d v="2019-07-25T00:00:00" u="1"/>
        <d v="2019-05-04T00:00:00" u="1"/>
        <d v="2019-04-15T00:00:00" u="1"/>
        <d v="2019-04-11T00:00:00" u="1"/>
        <d v="2019-07-13T00:00:00" u="1"/>
        <d v="2019-07-09T00:00:00" u="1"/>
        <d v="2019-04-03T00:00:00" u="1"/>
        <d v="2019-07-05T00:00:00" u="1"/>
        <d v="2019-05-31T00:00:00" u="1"/>
        <d v="2019-06-12T00:00:00" u="1"/>
        <d v="2019-05-27T00:00:00" u="1"/>
        <d v="2019-06-08T00:00:00" u="1"/>
        <d v="2019-05-23T00:00:00" u="1"/>
        <d v="2019-06-04T00:00:00" u="1"/>
        <d v="2019-05-15T00:00:00" u="1"/>
        <d v="2019-04-30T00:00:00" u="1"/>
        <d v="2019-05-11T00:00:00" u="1"/>
        <d v="2019-05-07T00:00:00" u="1"/>
        <d v="2019-07-24T00:00:00" u="1"/>
        <d v="2019-05-03T00:00:00" u="1"/>
        <d v="2019-07-20T00:00:00" u="1"/>
        <d v="2019-07-16T00:00:00" u="1"/>
        <d v="2019-04-10T00:00:00" u="1"/>
        <d v="2019-07-12T00:00:00" u="1"/>
        <d v="2019-04-06T00:00:00" u="1"/>
        <d v="2019-07-08T00:00:00" u="1"/>
        <d v="2019-04-02T00:00:00" u="1"/>
        <d v="2019-07-04T00:00:00" u="1"/>
        <d v="2019-05-30T00:00:00" u="1"/>
        <d v="2019-06-11T00:00:00" u="1"/>
        <d v="2019-06-07T00:00:00" u="1"/>
        <d v="2019-05-22T00:00:00" u="1"/>
        <d v="2019-03-01T00:00:00" u="1"/>
        <d v="2019-06-03T00:00:00" u="1"/>
        <d v="2019-05-18T00:00:00" u="1"/>
        <d v="2019-05-14T00:00:00" u="1"/>
        <d v="2019-07-31T00:00:00" u="1"/>
        <d v="2019-05-10T00:00:00" u="1"/>
        <d v="2019-07-27T00:00:00" u="1"/>
        <d v="2019-05-06T00:00:00" u="1"/>
        <d v="2019-07-23T00:00:00" u="1"/>
        <d v="2019-05-02T00:00:00" u="1"/>
        <d v="2019-07-19T00:00:00" u="1"/>
        <d v="2019-04-13T00:00:00" u="1"/>
        <d v="2019-07-15T00:00:00" u="1"/>
        <d v="2019-04-09T00:00:00" u="1"/>
        <d v="2019-07-11T00:00:00" u="1"/>
        <d v="2019-04-05T00:00:00" u="1"/>
        <d v="2019-04-01T00:00:00" u="1"/>
        <d v="2019-07-03T00:00:00" u="1"/>
        <d v="2019-05-29T00:00:00" u="1"/>
        <d v="2019-06-10T00:00:00" u="1"/>
        <d v="2019-05-25T00:00:00" u="1"/>
        <d v="2019-06-06T00:00:00" u="1"/>
        <d v="2019-05-21T00:00:00" u="1"/>
        <d v="2019-05-17T00:00:00" u="1"/>
        <d v="2019-05-13T00:00:00" u="1"/>
        <d v="2019-07-30T00:00:00" u="1"/>
        <d v="2019-05-09T00:00:00" u="1"/>
        <d v="2019-07-26T00:00:00" u="1"/>
      </sharedItems>
    </cacheField>
    <cacheField name="NOTA DE CREDITO" numFmtId="0">
      <sharedItems containsNonDate="0" containsString="0" containsBlank="1"/>
    </cacheField>
    <cacheField name="DESCUENTOS" numFmtId="165">
      <sharedItems containsNonDate="0" containsString="0" containsBlank="1"/>
    </cacheField>
    <cacheField name="GRAVADAS" numFmtId="165">
      <sharedItems containsNonDate="0" containsString="0" containsBlank="1"/>
    </cacheField>
    <cacheField name="EXENTAS" numFmtId="165">
      <sharedItems containsNonDate="0" containsString="0" containsBlank="1"/>
    </cacheField>
    <cacheField name="SUB_TOTAL1" numFmtId="165">
      <sharedItems containsNonDate="0" containsString="0" containsBlank="1"/>
    </cacheField>
    <cacheField name="ITBMS" numFmtId="165">
      <sharedItems containsNonDate="0" containsString="0" containsBlank="1"/>
    </cacheField>
    <cacheField name="CXCOBRAR" numFmtId="165">
      <sharedItems containsNonDate="0" containsString="0" containsBlank="1"/>
    </cacheField>
    <cacheField name="CATEGORIA" numFmtId="165">
      <sharedItems containsNonDate="0" containsBlank="1" count="8">
        <m/>
        <s v="N/C_CONTADO 7%" u="1"/>
        <s v="N/C_CREDITO 7%" u="1"/>
        <s v="N/C_CREDITO 10%" u="1"/>
        <s v="CONTADO 7%" u="1"/>
        <s v="CREDITO 7%" u="1"/>
        <s v="CONTADO 10%" u="1"/>
        <s v="CREDITO 10%" u="1"/>
      </sharedItems>
    </cacheField>
    <cacheField name="REGISTRO DUPLICADO" numFmtId="165">
      <sharedItems containsNonDate="0" containsBlank="1" count="3">
        <m/>
        <s v="REFERENCIA REPETIDA" u="1"/>
        <s v="-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m/>
    <m/>
    <m/>
    <m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m/>
    <m/>
    <m/>
    <m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grandTotalCaption="TOTAL" updatedVersion="5" minRefreshableVersion="3" useAutoFormatting="1" rowGrandTotals="0" colGrandTotals="0" itemPrintTitles="1" createdVersion="6" indent="0" outline="1" outlineData="1" multipleFieldFilters="0" rowHeaderCaption="NOTA DE CREDITO">
  <location ref="F2:G4" firstHeaderRow="1" firstDataRow="2" firstDataCol="1"/>
  <pivotFields count="10">
    <pivotField axis="axisRow" numFmtId="14" multipleItemSelectionAllowed="1" showAll="0">
      <items count="80">
        <item m="1" x="51"/>
        <item m="1" x="67"/>
        <item m="1" x="45"/>
        <item m="1" x="25"/>
        <item m="1" x="2"/>
        <item m="1" x="21"/>
        <item m="1" x="62"/>
        <item m="1" x="4"/>
        <item m="1" x="22"/>
        <item m="1" x="41"/>
        <item m="1" x="64"/>
        <item m="1" x="5"/>
        <item m="1" x="43"/>
        <item m="1" x="66"/>
        <item m="1" x="7"/>
        <item m="1" x="34"/>
        <item m="1" x="33"/>
        <item m="1" x="54"/>
        <item m="1" x="75"/>
        <item m="1" x="35"/>
        <item m="1" x="56"/>
        <item m="1" x="77"/>
        <item m="1" x="18"/>
        <item m="1" x="36"/>
        <item m="1" x="58"/>
        <item m="1" x="20"/>
        <item m="1" x="38"/>
        <item m="1" x="60"/>
        <item m="1" x="10"/>
        <item m="1" x="28"/>
        <item m="1" x="48"/>
        <item m="1" x="70"/>
        <item m="1" x="30"/>
        <item m="1" x="49"/>
        <item m="1" x="72"/>
        <item m="1" x="13"/>
        <item m="1" x="32"/>
        <item m="1" x="52"/>
        <item m="1" x="15"/>
        <item m="1" x="27"/>
        <item m="1" x="47"/>
        <item m="1" x="69"/>
        <item m="1" x="11"/>
        <item m="1" x="29"/>
        <item m="1" x="71"/>
        <item m="1" x="12"/>
        <item m="1" x="31"/>
        <item m="1" x="50"/>
        <item m="1" x="73"/>
        <item m="1" x="14"/>
        <item m="1" x="53"/>
        <item m="1" x="74"/>
        <item m="1" x="16"/>
        <item m="1" x="55"/>
        <item m="1" x="76"/>
        <item m="1" x="17"/>
        <item m="1" x="57"/>
        <item m="1" x="78"/>
        <item m="1" x="19"/>
        <item m="1" x="37"/>
        <item m="1" x="59"/>
        <item m="1" x="1"/>
        <item m="1" x="39"/>
        <item m="1" x="61"/>
        <item m="1" x="3"/>
        <item m="1" x="40"/>
        <item m="1" x="63"/>
        <item m="1" x="23"/>
        <item m="1" x="42"/>
        <item m="1" x="65"/>
        <item m="1" x="6"/>
        <item m="1" x="24"/>
        <item m="1" x="44"/>
        <item m="1" x="8"/>
        <item m="1" x="26"/>
        <item m="1" x="46"/>
        <item m="1" x="68"/>
        <item m="1" x="9"/>
        <item x="0"/>
        <item t="default"/>
      </items>
    </pivotField>
    <pivotField dataField="1" showAll="0"/>
    <pivotField numFmtId="165" showAll="0"/>
    <pivotField showAll="0"/>
    <pivotField showAll="0"/>
    <pivotField numFmtId="165" showAll="0"/>
    <pivotField numFmtId="165" showAll="0"/>
    <pivotField numFmtId="165" showAll="0"/>
    <pivotField showAll="0" sortType="descending">
      <items count="9">
        <item x="0"/>
        <item m="1" x="2"/>
        <item m="1" x="3"/>
        <item m="1" x="1"/>
        <item m="1" x="5"/>
        <item m="1" x="7"/>
        <item m="1" x="4"/>
        <item m="1" x="6"/>
        <item t="default"/>
      </items>
    </pivotField>
    <pivotField axis="axisCol" showAll="0" defaultSubtotal="0">
      <items count="3">
        <item m="1" x="2"/>
        <item m="1" x="1"/>
        <item x="0"/>
      </items>
    </pivotField>
  </pivotFields>
  <rowFields count="1">
    <field x="0"/>
  </rowFields>
  <rowItems count="1">
    <i>
      <x v="78"/>
    </i>
  </rowItems>
  <colFields count="1">
    <field x="9"/>
  </colFields>
  <colItems count="1">
    <i>
      <x v="2"/>
    </i>
  </colItems>
  <dataFields count="1">
    <dataField name="Cuenta de NOTA DE CREDITO" fld="1" subtotal="count" baseField="0" baseItem="18"/>
  </dataFields>
  <formats count="18">
    <format dxfId="54">
      <pivotArea outline="0" collapsedLevelsAreSubtotals="1" fieldPosition="0"/>
    </format>
    <format dxfId="53">
      <pivotArea grandRow="1" outline="0" collapsedLevelsAreSubtotals="1" fieldPosition="0"/>
    </format>
    <format dxfId="52">
      <pivotArea field="8" type="button" dataOnly="0" labelOnly="1" outline="0"/>
    </format>
    <format dxfId="51">
      <pivotArea field="8" type="button" dataOnly="0" labelOnly="1" outline="0"/>
    </format>
    <format dxfId="50">
      <pivotArea field="8" type="button" dataOnly="0" labelOnly="1" outline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8" type="button" dataOnly="0" labelOnly="1" outline="0"/>
    </format>
    <format dxfId="46">
      <pivotArea dataOnly="0" labelOnly="1" grandRow="1" outline="0" fieldPosition="0"/>
    </format>
    <format dxfId="45">
      <pivotArea outline="0" collapsedLevelsAreSubtotals="1" fieldPosition="0"/>
    </format>
    <format dxfId="44">
      <pivotArea dataOnly="0" labelOnly="1" fieldPosition="0">
        <references count="1">
          <reference field="9" count="0"/>
        </references>
      </pivotArea>
    </format>
    <format dxfId="43">
      <pivotArea dataOnly="0" labelOnly="1" grandCol="1" outline="0" fieldPosition="0"/>
    </format>
    <format dxfId="42">
      <pivotArea outline="0" collapsedLevelsAreSubtotals="1" fieldPosition="0"/>
    </format>
    <format dxfId="41">
      <pivotArea field="9" type="button" dataOnly="0" labelOnly="1" outline="0" axis="axisCol" fieldPosition="0"/>
    </format>
    <format dxfId="40">
      <pivotArea dataOnly="0" labelOnly="1" fieldPosition="0">
        <references count="1">
          <reference field="9" count="0"/>
        </references>
      </pivotArea>
    </format>
    <format dxfId="39">
      <pivotArea outline="0" collapsedLevelsAreSubtotals="1" fieldPosition="0"/>
    </format>
    <format dxfId="38">
      <pivotArea field="9" type="button" dataOnly="0" labelOnly="1" outline="0" axis="axisCol" fieldPosition="0"/>
    </format>
    <format dxfId="37">
      <pivotArea dataOnly="0" labelOnly="1" fieldPosition="0">
        <references count="1">
          <reference field="9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grandTotalCaption="TOTAL" updatedVersion="5" minRefreshableVersion="3" useAutoFormatting="1" rowGrandTotals="0" colGrandTotals="0" itemPrintTitles="1" createdVersion="6" indent="0" outline="1" outlineData="1" multipleFieldFilters="0" rowHeaderCaption="FACTURA" colHeaderCaption="CATEGORIA">
  <location ref="A2:B4" firstHeaderRow="1" firstDataRow="2" firstDataCol="1"/>
  <pivotFields count="10">
    <pivotField axis="axisRow" numFmtId="14" multipleItemSelectionAllowed="1" showAll="0" sortType="ascending" defaultSubtotal="0">
      <items count="81">
        <item m="1" x="37"/>
        <item m="1" x="53"/>
        <item m="1" x="69"/>
        <item m="1" x="47"/>
        <item m="1" x="26"/>
        <item m="1" x="7"/>
        <item m="1" x="68"/>
        <item m="1" x="45"/>
        <item m="1" x="5"/>
        <item m="1" x="66"/>
        <item m="1" x="43"/>
        <item m="1" x="23"/>
        <item m="1" x="4"/>
        <item m="1" x="64"/>
        <item m="1" x="21"/>
        <item m="1" x="2"/>
        <item sd="0" m="1" x="35"/>
        <item m="1" x="62"/>
        <item m="1" x="40"/>
        <item m="1" x="20"/>
        <item m="1" x="60"/>
        <item m="1" x="38"/>
        <item m="1" x="18"/>
        <item m="1" x="79"/>
        <item m="1" x="58"/>
        <item m="1" x="36"/>
        <item m="1" x="77"/>
        <item m="1" x="56"/>
        <item sd="0" m="1" x="34"/>
        <item m="1" x="16"/>
        <item m="1" x="76"/>
        <item m="1" x="55"/>
        <item m="1" x="14"/>
        <item m="1" x="75"/>
        <item m="1" x="52"/>
        <item m="1" x="32"/>
        <item m="1" x="12"/>
        <item m="1" x="73"/>
        <item m="1" x="30"/>
        <item m="1" x="11"/>
        <item m="1" x="71"/>
        <item m="1" x="49"/>
        <item m="1" x="28"/>
        <item m="1" x="15"/>
        <item m="1" x="54"/>
        <item m="1" x="33"/>
        <item m="1" x="13"/>
        <item m="1" x="74"/>
        <item m="1" x="51"/>
        <item m="1" x="31"/>
        <item m="1" x="72"/>
        <item m="1" x="50"/>
        <item m="1" x="29"/>
        <item m="1" x="10"/>
        <item m="1" x="9"/>
        <item m="1" x="70"/>
        <item m="1" x="48"/>
        <item m="1" x="27"/>
        <item m="1" x="8"/>
        <item m="1" x="46"/>
        <item m="1" x="25"/>
        <item m="1" x="6"/>
        <item m="1" x="67"/>
        <item m="1" x="44"/>
        <item m="1" x="24"/>
        <item m="1" x="65"/>
        <item m="1" x="42"/>
        <item m="1" x="22"/>
        <item m="1" x="3"/>
        <item m="1" x="63"/>
        <item m="1" x="41"/>
        <item m="1" x="1"/>
        <item m="1" x="61"/>
        <item m="1" x="39"/>
        <item m="1" x="19"/>
        <item m="1" x="80"/>
        <item m="1" x="59"/>
        <item m="1" x="17"/>
        <item m="1" x="78"/>
        <item m="1" x="57"/>
        <item x="0"/>
      </items>
    </pivotField>
    <pivotField dataField="1" showAll="0" defaultSubtotal="0"/>
    <pivotField numFmtId="165" showAll="0" defaultSubtotal="0"/>
    <pivotField showAll="0" defaultSubtotal="0"/>
    <pivotField showAll="0" defaultSubtotal="0"/>
    <pivotField numFmtId="165" showAll="0" defaultSubtotal="0"/>
    <pivotField numFmtId="165" showAll="0" defaultSubtotal="0"/>
    <pivotField numFmtId="165" showAll="0" defaultSubtotal="0"/>
    <pivotField showAll="0" sortType="descending" defaultSubtotal="0">
      <items count="5">
        <item x="0"/>
        <item m="1" x="2"/>
        <item m="1" x="4"/>
        <item m="1" x="1"/>
        <item m="1" x="3"/>
      </items>
    </pivotField>
    <pivotField axis="axisCol" showAll="0" defaultSubtotal="0">
      <items count="4">
        <item m="1" x="3"/>
        <item m="1" x="1"/>
        <item m="1" x="2"/>
        <item x="0"/>
      </items>
    </pivotField>
  </pivotFields>
  <rowFields count="1">
    <field x="0"/>
  </rowFields>
  <rowItems count="1">
    <i>
      <x v="80"/>
    </i>
  </rowItems>
  <colFields count="1">
    <field x="9"/>
  </colFields>
  <colItems count="1">
    <i>
      <x v="3"/>
    </i>
  </colItems>
  <dataFields count="1">
    <dataField name="Cuenta de FACTURA" fld="1" subtotal="count" baseField="0" baseItem="15"/>
  </dataFields>
  <formats count="15">
    <format dxfId="69">
      <pivotArea field="8" type="button" dataOnly="0" labelOnly="1" outline="0"/>
    </format>
    <format dxfId="68">
      <pivotArea field="8" type="button" dataOnly="0" labelOnly="1" outline="0"/>
    </format>
    <format dxfId="67">
      <pivotArea field="8" type="button" dataOnly="0" labelOnly="1" outline="0"/>
    </format>
    <format dxfId="66">
      <pivotArea outline="0" collapsedLevelsAreSubtotals="1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8" type="button" dataOnly="0" labelOnly="1" outline="0"/>
    </format>
    <format dxfId="62">
      <pivotArea dataOnly="0" labelOnly="1" grandRow="1" outline="0" fieldPosition="0"/>
    </format>
    <format dxfId="61">
      <pivotArea collapsedLevelsAreSubtotals="1" fieldPosition="0">
        <references count="2">
          <reference field="0" count="1">
            <x v="28"/>
          </reference>
          <reference field="9" count="1" selected="0">
            <x v="1"/>
          </reference>
        </references>
      </pivotArea>
    </format>
    <format dxfId="60">
      <pivotArea outline="0" collapsedLevelsAreSubtotals="1" fieldPosition="0"/>
    </format>
    <format dxfId="59">
      <pivotArea dataOnly="0" labelOnly="1" fieldPosition="0">
        <references count="1">
          <reference field="9" count="0"/>
        </references>
      </pivotArea>
    </format>
    <format dxfId="58">
      <pivotArea outline="0" collapsedLevelsAreSubtotals="1" fieldPosition="0"/>
    </format>
    <format dxfId="57">
      <pivotArea dataOnly="0" labelOnly="1" fieldPosition="0">
        <references count="1">
          <reference field="9" count="0"/>
        </references>
      </pivotArea>
    </format>
    <format dxfId="56">
      <pivotArea outline="0" collapsedLevelsAreSubtotals="1" fieldPosition="0"/>
    </format>
    <format dxfId="55">
      <pivotArea dataOnly="0" labelOnly="1" fieldPosition="0">
        <references count="1">
          <reference field="9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9" name="Tbl_Factura" displayName="Tbl_Factura" ref="A1:J3" totalsRowCount="1" headerRowDxfId="142" dataDxfId="141">
  <autoFilter ref="A1:J2"/>
  <sortState ref="A2:J219">
    <sortCondition descending="1" ref="B1:B219"/>
  </sortState>
  <tableColumns count="10">
    <tableColumn id="1" name="FECHA" totalsRowLabel="Total" dataDxfId="140" totalsRowDxfId="22"/>
    <tableColumn id="2" name="FACTURA" totalsRowFunction="count" dataDxfId="139" totalsRowDxfId="21"/>
    <tableColumn id="5" name="DESCUENTOS" dataDxfId="138" totalsRowDxfId="20"/>
    <tableColumn id="10" name="GRAVADAS" dataDxfId="137" totalsRowDxfId="19"/>
    <tableColumn id="3" name="EXENTAS" dataDxfId="136" totalsRowDxfId="18"/>
    <tableColumn id="4" name="SUB_TOTAL " dataDxfId="135" totalsRowDxfId="17">
      <calculatedColumnFormula>Tbl_Factura[[#This Row],[GRAVADAS]]+Tbl_Factura[[#This Row],[EXENTAS]]</calculatedColumnFormula>
    </tableColumn>
    <tableColumn id="7" name="ITBMS" dataDxfId="134" totalsRowDxfId="16">
      <calculatedColumnFormula>IFERROR(ROUND(Tbl_Factura[[#This Row],[GRAVADAS]]*VLOOKUP(Tbl_Factura[[#This Row],[CATEGORIA]],Tbl_Criterio[],2,0),2),0)</calculatedColumnFormula>
    </tableColumn>
    <tableColumn id="8" name="CXCOBRAR" dataDxfId="133" totalsRowDxfId="15">
      <calculatedColumnFormula>IFERROR(Tbl_Factura[[#This Row],[SUB_TOTAL ]]+Tbl_Factura[[#This Row],[ITBMS]],0)</calculatedColumnFormula>
    </tableColumn>
    <tableColumn id="9" name="CATEGORIA" dataDxfId="132" totalsRowDxfId="13"/>
    <tableColumn id="6" name="REGISTRO DUPLICADO" dataDxfId="131" totalsRowDxfId="14">
      <calculatedColumnFormula>IF(COUNTIFS(Tbl_Factura[FACTURA],Tbl_Factura[[#This Row],[FACTURA]])&gt;1,"REFERENCIA REPETIDA","-")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13" name="Tbl_Nota" displayName="Tbl_Nota" ref="A1:J3" totalsRowCount="1" headerRowDxfId="130" dataDxfId="129">
  <autoFilter ref="A1:J2"/>
  <sortState ref="A2:J76">
    <sortCondition descending="1" ref="B1:B76"/>
  </sortState>
  <tableColumns count="10">
    <tableColumn id="1" name="FECHA" totalsRowLabel="Total" dataDxfId="128" totalsRowDxfId="32"/>
    <tableColumn id="2" name="NOTA DE CREDITO" dataDxfId="127" totalsRowDxfId="31"/>
    <tableColumn id="5" name="DESCUENTOS" dataDxfId="126" totalsRowDxfId="30"/>
    <tableColumn id="10" name="GRAVADAS" dataDxfId="125" totalsRowDxfId="29"/>
    <tableColumn id="3" name="EXENTAS" dataDxfId="124" totalsRowDxfId="28"/>
    <tableColumn id="4" name="SUB_TOTAL1" dataDxfId="123" totalsRowDxfId="27">
      <calculatedColumnFormula>Tbl_Nota[[#This Row],[GRAVADAS]]+Tbl_Nota[[#This Row],[EXENTAS]]</calculatedColumnFormula>
    </tableColumn>
    <tableColumn id="7" name="ITBMS" dataDxfId="122" totalsRowDxfId="26">
      <calculatedColumnFormula>IFERROR(ROUND(Tbl_Nota[[#This Row],[GRAVADAS]]*VLOOKUP(Tbl_Nota[[#This Row],[CATEGORIA]],Tbl_Criterio[],2,0),2),0)</calculatedColumnFormula>
    </tableColumn>
    <tableColumn id="8" name="CXCOBRAR" dataDxfId="121" totalsRowDxfId="25">
      <calculatedColumnFormula>IFERROR(Tbl_Nota[[#This Row],[SUB_TOTAL1]]+Tbl_Nota[[#This Row],[ITBMS]],0)</calculatedColumnFormula>
    </tableColumn>
    <tableColumn id="9" name="CATEGORIA" dataDxfId="120" totalsRowDxfId="24"/>
    <tableColumn id="6" name="REGISTRO DUPLICADO" dataDxfId="119" totalsRowDxfId="23">
      <calculatedColumnFormula>IF(COUNTIFS(Tbl_Nota[NOTA DE CREDITO],Tbl_Nota[[#This Row],[NOTA DE CREDITO]])&gt;1,"REFERENCIA REPETIDA","-")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4" name="Tbl_CierreX" displayName="Tbl_CierreX" ref="A1:I12" totalsRowCount="1" headerRowDxfId="118" dataDxfId="117">
  <autoFilter ref="A1:I11"/>
  <tableColumns count="9">
    <tableColumn id="1" name="FECHA" totalsRowLabel="Total" dataDxfId="116" totalsRowDxfId="115"/>
    <tableColumn id="6" name="DOCUMENTO" dataDxfId="114" totalsRowDxfId="113"/>
    <tableColumn id="2" name="CATEGORIA" dataDxfId="112" totalsRowDxfId="111"/>
    <tableColumn id="3" name="DESCUENTOS" totalsRowFunction="sum" dataDxfId="110" totalsRowDxfId="109">
      <calculatedColumnFormula>IF(Tbl_CierreX[[#This Row],[DOCUMENTO]]=FACTURA,(SUMIFS(Tbl_Factura[DESCUENTOS],Tbl_Factura[CATEGORIA],Tbl_CierreX[[#This Row],[CATEGORIA]],Tbl_Factura[FECHA],Tbl_CierreX[[#This Row],[FECHA]])),(SUMIFS(Tbl_Nota[DESCUENTOS],Tbl_Nota[CATEGORIA],Tbl_CierreX[[#This Row],[CATEGORIA]],Tbl_Nota[FECHA],Tbl_CierreX[[#This Row],[FECHA]]))*-1)</calculatedColumnFormula>
    </tableColumn>
    <tableColumn id="13" name="GRAVADAS" totalsRowFunction="sum" dataDxfId="108" totalsRowDxfId="107">
      <calculatedColumnFormula>IF(Tbl_CierreX[[#This Row],[DOCUMENTO]]=FACTURA,(SUMIFS(Tbl_Factura[GRAVADAS],Tbl_Factura[CATEGORIA],Tbl_CierreX[[#This Row],[CATEGORIA]],Tbl_Factura[FECHA],Tbl_CierreX[[#This Row],[FECHA]])),(SUMIFS(Tbl_Nota[GRAVADAS],Tbl_Nota[CATEGORIA],Tbl_CierreX[[#This Row],[CATEGORIA]],Tbl_Nota[FECHA],Tbl_CierreX[[#This Row],[FECHA]]))*-1)</calculatedColumnFormula>
    </tableColumn>
    <tableColumn id="14" name="EXENTAS" totalsRowFunction="sum" dataDxfId="106" totalsRowDxfId="105">
      <calculatedColumnFormula>IF(Tbl_CierreX[[#This Row],[DOCUMENTO]]=FACTURA,(SUMIFS(Tbl_Factura[EXENTAS],Tbl_Factura[CATEGORIA],Tbl_CierreX[[#This Row],[CATEGORIA]],Tbl_Factura[FECHA],Tbl_CierreX[[#This Row],[FECHA]])),(SUMIFS(Tbl_Nota[EXENTAS],Tbl_Nota[CATEGORIA],Tbl_CierreX[[#This Row],[CATEGORIA]],Tbl_Nota[FECHA],Tbl_CierreX[[#This Row],[FECHA]]))*-1)</calculatedColumnFormula>
    </tableColumn>
    <tableColumn id="15" name="SUB TOTAL" totalsRowFunction="sum" dataDxfId="104" totalsRowDxfId="103">
      <calculatedColumnFormula>IF(Tbl_CierreX[[#This Row],[DOCUMENTO]]=FACTURA,(SUMIFS(Tbl_Factura[SUB_TOTAL ],Tbl_Factura[CATEGORIA],Tbl_CierreX[[#This Row],[CATEGORIA]],Tbl_Factura[FECHA],Tbl_CierreX[[#This Row],[FECHA]])),(SUMIFS(Tbl_Nota[SUB_TOTAL1],Tbl_Nota[CATEGORIA],Tbl_CierreX[[#This Row],[CATEGORIA]],Tbl_Nota[FECHA],Tbl_CierreX[[#This Row],[FECHA]]))*-1)</calculatedColumnFormula>
    </tableColumn>
    <tableColumn id="16" name="ITBMS" totalsRowFunction="sum" dataDxfId="102" totalsRowDxfId="101">
      <calculatedColumnFormula>IF(Tbl_CierreX[[#This Row],[DOCUMENTO]]=FACTURA,(SUMIFS(Tbl_Factura[ITBMS],Tbl_Factura[CATEGORIA],Tbl_CierreX[[#This Row],[CATEGORIA]],Tbl_Factura[FECHA],Tbl_CierreX[[#This Row],[FECHA]])),(SUMIFS(Tbl_Nota[ITBMS],Tbl_Nota[CATEGORIA],Tbl_CierreX[[#This Row],[CATEGORIA]],Tbl_Nota[FECHA],Tbl_CierreX[[#This Row],[FECHA]]))*-1)</calculatedColumnFormula>
    </tableColumn>
    <tableColumn id="17" name="CXCOBRAR" totalsRowFunction="sum" dataDxfId="100" totalsRowDxfId="99">
      <calculatedColumnFormula>IF(Tbl_CierreX[[#This Row],[DOCUMENTO]]=FACTURA,(SUMIFS(Tbl_Factura[CXCOBRAR],Tbl_Factura[CATEGORIA],Tbl_CierreX[[#This Row],[CATEGORIA]],Tbl_Factura[FECHA],Tbl_CierreX[[#This Row],[FECHA]])),(SUMIFS(Tbl_Nota[CXCOBRAR],Tbl_Nota[CATEGORIA],Tbl_CierreX[[#This Row],[CATEGORIA]],Tbl_Nota[FECHA],Tbl_CierreX[[#This Row],[FECHA]]))*-1)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D4:P5" totalsRowShown="0" headerRowDxfId="98" dataDxfId="97">
  <autoFilter ref="D4:P5"/>
  <tableColumns count="13">
    <tableColumn id="13" name="FECHA" dataDxfId="96">
      <calculatedColumnFormula>A2</calculatedColumnFormula>
    </tableColumn>
    <tableColumn id="1" name="GAVETA" dataDxfId="95">
      <calculatedColumnFormula>B15</calculatedColumnFormula>
    </tableColumn>
    <tableColumn id="2" name="VENTAS" dataDxfId="94">
      <calculatedColumnFormula>B17</calculatedColumnFormula>
    </tableColumn>
    <tableColumn id="3" name="ITBMS" dataDxfId="93">
      <calculatedColumnFormula>B18</calculatedColumnFormula>
    </tableColumn>
    <tableColumn id="4" name="TOTAL1" dataDxfId="92">
      <calculatedColumnFormula>B19</calculatedColumnFormula>
    </tableColumn>
    <tableColumn id="5" name="DEV" dataDxfId="91">
      <calculatedColumnFormula>B21</calculatedColumnFormula>
    </tableColumn>
    <tableColumn id="6" name="ITBMS2" dataDxfId="90">
      <calculatedColumnFormula>B22</calculatedColumnFormula>
    </tableColumn>
    <tableColumn id="7" name="TOTAL2" dataDxfId="89">
      <calculatedColumnFormula>B23</calculatedColumnFormula>
    </tableColumn>
    <tableColumn id="8" name="DESC" dataDxfId="88">
      <calculatedColumnFormula>B25</calculatedColumnFormula>
    </tableColumn>
    <tableColumn id="9" name="ITBMS3" dataDxfId="87"/>
    <tableColumn id="10" name="TOTAL" dataDxfId="86"/>
    <tableColumn id="11" name="EXENTAS" dataDxfId="85">
      <calculatedColumnFormula>B4</calculatedColumnFormula>
    </tableColumn>
    <tableColumn id="12" name="TOTAL3" dataDxfId="84">
      <calculatedColumnFormula>B15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16" displayName="Tabla16" ref="D7:P9" insertRow="1" totalsRowCount="1" headerRowDxfId="83">
  <autoFilter ref="D7:P8"/>
  <sortState ref="D8:P99">
    <sortCondition ref="D7:D99"/>
  </sortState>
  <tableColumns count="13">
    <tableColumn id="13" name="FECHA" totalsRowLabel="Total" dataDxfId="82" totalsRowDxfId="12"/>
    <tableColumn id="1" name="GAVETA" totalsRowFunction="sum" dataDxfId="81" totalsRowDxfId="11"/>
    <tableColumn id="2" name="VENTAS" totalsRowFunction="sum" dataDxfId="80" totalsRowDxfId="10"/>
    <tableColumn id="3" name="ITBMS" totalsRowFunction="sum" dataDxfId="79" totalsRowDxfId="9"/>
    <tableColumn id="4" name="TOTAL1" totalsRowFunction="sum" dataDxfId="78" totalsRowDxfId="8"/>
    <tableColumn id="5" name="DEV" totalsRowFunction="sum" dataDxfId="77" totalsRowDxfId="7"/>
    <tableColumn id="6" name="ITBMS2" totalsRowFunction="sum" dataDxfId="76" totalsRowDxfId="6"/>
    <tableColumn id="7" name="TOTAL2" totalsRowFunction="sum" dataDxfId="75" totalsRowDxfId="5"/>
    <tableColumn id="8" name="DESC" totalsRowFunction="sum" dataDxfId="74" totalsRowDxfId="4"/>
    <tableColumn id="9" name="ITBMS3" totalsRowFunction="sum" dataDxfId="73" totalsRowDxfId="3"/>
    <tableColumn id="10" name="TOTAL" totalsRowFunction="sum" dataDxfId="72" totalsRowDxfId="2"/>
    <tableColumn id="11" name="EXENTAS" totalsRowFunction="sum" dataDxfId="71" totalsRowDxfId="1"/>
    <tableColumn id="12" name="TOTAL3" totalsRowFunction="sum" dataDxfId="70" totalsRow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bl_Criterio" displayName="Tbl_Criterio" ref="A1:B6" totalsRowShown="0" headerRowDxfId="36" dataDxfId="35">
  <autoFilter ref="A1:B6"/>
  <tableColumns count="2">
    <tableColumn id="1" name="CATEGORIAS" dataDxfId="34"/>
    <tableColumn id="2" name="PORCENTAJE " dataDxfId="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7" tint="0.59999389629810485"/>
  </sheetPr>
  <dimension ref="A1:N40"/>
  <sheetViews>
    <sheetView showGridLines="0" tabSelected="1" zoomScale="60" zoomScaleNormal="60" workbookViewId="0">
      <selection activeCell="A4" sqref="A4"/>
    </sheetView>
  </sheetViews>
  <sheetFormatPr baseColWidth="10" defaultColWidth="9.08984375" defaultRowHeight="14.5" x14ac:dyDescent="0.35"/>
  <cols>
    <col min="1" max="1" width="12.6328125" customWidth="1"/>
    <col min="2" max="7" width="17.90625" customWidth="1"/>
    <col min="9" max="9" width="17.90625" customWidth="1"/>
    <col min="10" max="10" width="22.36328125" customWidth="1"/>
    <col min="12" max="12" width="11.90625" customWidth="1"/>
  </cols>
  <sheetData>
    <row r="1" spans="1:12" x14ac:dyDescent="0.35">
      <c r="A1" s="32"/>
      <c r="B1" s="32"/>
      <c r="C1" s="32"/>
      <c r="D1" s="32"/>
      <c r="E1" s="32"/>
      <c r="F1" s="32"/>
      <c r="G1" s="32"/>
    </row>
    <row r="2" spans="1:12" x14ac:dyDescent="0.35">
      <c r="A2" s="32" t="s">
        <v>11</v>
      </c>
      <c r="B2" s="32"/>
      <c r="C2" s="32"/>
      <c r="D2" s="32"/>
      <c r="E2" s="32"/>
      <c r="F2" s="32"/>
      <c r="G2" s="32"/>
    </row>
    <row r="3" spans="1:12" x14ac:dyDescent="0.35">
      <c r="A3" s="32" t="s">
        <v>71</v>
      </c>
      <c r="B3" s="32"/>
      <c r="C3" s="32"/>
      <c r="D3" s="32"/>
      <c r="E3" s="32"/>
      <c r="F3" s="32"/>
      <c r="G3" s="32"/>
    </row>
    <row r="4" spans="1:12" x14ac:dyDescent="0.35">
      <c r="A4" s="71"/>
      <c r="B4" s="1"/>
      <c r="C4" s="1"/>
      <c r="D4" s="1"/>
      <c r="E4" s="1"/>
      <c r="F4" s="1"/>
      <c r="G4" s="1"/>
    </row>
    <row r="5" spans="1:12" ht="18.5" x14ac:dyDescent="0.45">
      <c r="A5" s="16">
        <v>7.0000000000000007E-2</v>
      </c>
      <c r="B5" s="17" t="s">
        <v>3</v>
      </c>
      <c r="C5" s="17" t="s">
        <v>12</v>
      </c>
      <c r="D5" s="17" t="s">
        <v>5</v>
      </c>
      <c r="E5" s="17" t="s">
        <v>4</v>
      </c>
      <c r="F5" s="18" t="s">
        <v>2</v>
      </c>
      <c r="G5" s="18" t="s">
        <v>1</v>
      </c>
    </row>
    <row r="6" spans="1:12" x14ac:dyDescent="0.35">
      <c r="A6" s="2" t="s">
        <v>13</v>
      </c>
      <c r="B6" s="3">
        <f>SUMIF(Tbl_Factura[CATEGORIA],CRITERIOS!$A$2,Tbl_Factura[DESCUENTOS])</f>
        <v>0</v>
      </c>
      <c r="C6" s="3">
        <f>SUMIF(Tbl_Factura[CATEGORIA],CRITERIOS!$A$2,Tbl_Factura[GRAVADAS])</f>
        <v>0</v>
      </c>
      <c r="D6" s="3">
        <f>SUMIF(Tbl_Factura[CATEGORIA],CRITERIOS!$A$2,Tbl_Factura[EXENTAS])</f>
        <v>0</v>
      </c>
      <c r="E6" s="3">
        <f>SUMIF(Tbl_Factura[CATEGORIA],CRITERIOS!$A$2,Tbl_Factura[SUB_TOTAL ])</f>
        <v>0</v>
      </c>
      <c r="F6" s="3">
        <f>SUMIF(Tbl_Factura[CATEGORIA],CRITERIOS!$A$2,Tbl_Factura[ITBMS])</f>
        <v>0</v>
      </c>
      <c r="G6" s="3">
        <f>SUMIF(Tbl_Factura[CATEGORIA],CRITERIOS!$A$2,Tbl_Factura[CXCOBRAR])</f>
        <v>0</v>
      </c>
      <c r="I6" s="4" t="s">
        <v>14</v>
      </c>
      <c r="J6" s="4" t="s">
        <v>15</v>
      </c>
    </row>
    <row r="7" spans="1:12" x14ac:dyDescent="0.35">
      <c r="A7" s="2" t="s">
        <v>16</v>
      </c>
      <c r="B7" s="3">
        <f>SUMIF(Tbl_Nota[CATEGORIA],CRITERIOS!$A$2,Tbl_Nota[DESCUENTOS])</f>
        <v>0</v>
      </c>
      <c r="C7" s="3">
        <f>SUMIF(Tbl_Nota[CATEGORIA],CRITERIOS!$A$2,Tbl_Nota[GRAVADAS])</f>
        <v>0</v>
      </c>
      <c r="D7" s="3">
        <f>SUMIF(Tbl_Nota[CATEGORIA],CRITERIOS!$A$2,Tbl_Nota[EXENTAS])</f>
        <v>0</v>
      </c>
      <c r="E7" s="3">
        <f>SUMIF(Tbl_Nota[CATEGORIA],CRITERIOS!$A$2,Tbl_Nota[SUB_TOTAL1])</f>
        <v>0</v>
      </c>
      <c r="F7" s="3">
        <f>SUMIF(Tbl_Nota[CATEGORIA],CRITERIOS!$A$2,Tbl_Nota[ITBMS])</f>
        <v>0</v>
      </c>
      <c r="G7" s="3">
        <f>SUMIF(Tbl_Nota[CATEGORIA],CRITERIOS!$A$2,Tbl_Nota[CXCOBRAR])</f>
        <v>0</v>
      </c>
      <c r="I7" s="5">
        <f>+G33</f>
        <v>0</v>
      </c>
      <c r="J7" s="5">
        <f>+G35</f>
        <v>0</v>
      </c>
      <c r="L7" s="6"/>
    </row>
    <row r="8" spans="1:12" x14ac:dyDescent="0.35">
      <c r="A8" s="2" t="s">
        <v>15</v>
      </c>
      <c r="B8" s="3">
        <f>SUMIF(Tbl_Factura[CATEGORIA],CRITERIOS!$A$3,Tbl_Factura[DESCUENTOS])</f>
        <v>0</v>
      </c>
      <c r="C8" s="3">
        <f>SUMIF(Tbl_Factura[CATEGORIA],CRITERIOS!$A$3,Tbl_Factura[GRAVADAS])</f>
        <v>0</v>
      </c>
      <c r="D8" s="3">
        <f>SUMIF(Tbl_Factura[CATEGORIA],CRITERIOS!$A$3,Tbl_Factura[EXENTAS])</f>
        <v>0</v>
      </c>
      <c r="E8" s="3">
        <f>SUMIF(Tbl_Factura[CATEGORIA],CRITERIOS!$A$3,Tbl_Factura[SUB_TOTAL ])</f>
        <v>0</v>
      </c>
      <c r="F8" s="3">
        <f>SUMIF(Tbl_Factura[CATEGORIA],CRITERIOS!$A$3,Tbl_Factura[ITBMS])</f>
        <v>0</v>
      </c>
      <c r="G8" s="3">
        <f>SUMIF(Tbl_Factura[CATEGORIA],CRITERIOS!$A$3,Tbl_Factura[CXCOBRAR])</f>
        <v>0</v>
      </c>
    </row>
    <row r="9" spans="1:12" x14ac:dyDescent="0.35">
      <c r="A9" s="7" t="s">
        <v>16</v>
      </c>
      <c r="B9" s="3">
        <f>SUMIF(Tbl_Nota[CATEGORIA],CRITERIOS!$A$3,Tbl_Nota[DESCUENTOS])</f>
        <v>0</v>
      </c>
      <c r="C9" s="3">
        <f>SUMIF(Tbl_Nota[CATEGORIA],CRITERIOS!$A$3,Tbl_Nota[GRAVADAS])</f>
        <v>0</v>
      </c>
      <c r="D9" s="3">
        <f>SUMIF(Tbl_Nota[CATEGORIA],CRITERIOS!$A$3,Tbl_Nota[EXENTAS])</f>
        <v>0</v>
      </c>
      <c r="E9" s="3">
        <f>SUMIF(Tbl_Nota[CATEGORIA],CRITERIOS!$A$3,Tbl_Nota[SUB_TOTAL1])</f>
        <v>0</v>
      </c>
      <c r="F9" s="3">
        <f>SUMIF(Tbl_Nota[CATEGORIA],CRITERIOS!$A$3,Tbl_Nota[ITBMS])</f>
        <v>0</v>
      </c>
      <c r="G9" s="3">
        <f>SUMIF(Tbl_Nota[CATEGORIA],CRITERIOS!$A$3,Tbl_Nota[CXCOBRAR])</f>
        <v>0</v>
      </c>
      <c r="I9" s="6"/>
    </row>
    <row r="10" spans="1:12" x14ac:dyDescent="0.35">
      <c r="A10" s="2" t="s">
        <v>17</v>
      </c>
      <c r="B10" s="8">
        <f t="shared" ref="B10:G10" si="0">B6+B8-B9-B7</f>
        <v>0</v>
      </c>
      <c r="C10" s="8">
        <f t="shared" si="0"/>
        <v>0</v>
      </c>
      <c r="D10" s="8">
        <f t="shared" si="0"/>
        <v>0</v>
      </c>
      <c r="E10" s="8">
        <f t="shared" si="0"/>
        <v>0</v>
      </c>
      <c r="F10" s="8">
        <f t="shared" si="0"/>
        <v>0</v>
      </c>
      <c r="G10" s="8">
        <f t="shared" si="0"/>
        <v>0</v>
      </c>
      <c r="H10" s="9"/>
      <c r="I10" s="6"/>
      <c r="J10" s="6"/>
    </row>
    <row r="12" spans="1:12" x14ac:dyDescent="0.35">
      <c r="G12" s="6"/>
    </row>
    <row r="15" spans="1:12" ht="18.5" x14ac:dyDescent="0.45">
      <c r="A15" s="16">
        <v>0.1</v>
      </c>
      <c r="B15" s="17" t="s">
        <v>3</v>
      </c>
      <c r="C15" s="17" t="s">
        <v>12</v>
      </c>
      <c r="D15" s="17" t="s">
        <v>5</v>
      </c>
      <c r="E15" s="17" t="s">
        <v>4</v>
      </c>
      <c r="F15" s="18" t="s">
        <v>2</v>
      </c>
      <c r="G15" s="19" t="s">
        <v>1</v>
      </c>
      <c r="I15" s="10" t="s">
        <v>18</v>
      </c>
      <c r="J15" s="4" t="s">
        <v>19</v>
      </c>
    </row>
    <row r="16" spans="1:12" x14ac:dyDescent="0.35">
      <c r="A16" s="2" t="s">
        <v>13</v>
      </c>
      <c r="B16" s="3">
        <f>SUMIF(Tbl_Factura[CATEGORIA],CRITERIOS!$A$4,Tbl_Factura[DESCUENTOS])</f>
        <v>0</v>
      </c>
      <c r="C16" s="3">
        <f>SUMIF(Tbl_Factura[CATEGORIA],CRITERIOS!$A$4,Tbl_Factura[GRAVADAS])</f>
        <v>0</v>
      </c>
      <c r="D16" s="3">
        <f>SUMIF(Tbl_Factura[CATEGORIA],CRITERIOS!$A$4,Tbl_Factura[EXENTAS])</f>
        <v>0</v>
      </c>
      <c r="E16" s="3">
        <f>SUMIF(Tbl_Factura[CATEGORIA],CRITERIOS!$A$4,Tbl_Factura[SUB_TOTAL ])</f>
        <v>0</v>
      </c>
      <c r="F16" s="3">
        <f>SUMIF(Tbl_Factura[CATEGORIA],CRITERIOS!$A$4,Tbl_Factura[ITBMS])</f>
        <v>0</v>
      </c>
      <c r="G16" s="3">
        <f>SUMIF(Tbl_Factura[CATEGORIA],CRITERIOS!$A$4,Tbl_Factura[CXCOBRAR])</f>
        <v>0</v>
      </c>
      <c r="I16" s="5">
        <f>+G36</f>
        <v>0</v>
      </c>
      <c r="J16" s="5">
        <f>+G34</f>
        <v>0</v>
      </c>
    </row>
    <row r="17" spans="1:10" x14ac:dyDescent="0.35">
      <c r="A17" s="2" t="s">
        <v>16</v>
      </c>
      <c r="B17" s="3">
        <f>SUMIF(Tbl_Nota[CATEGORIA],CRITERIOS!$A$4,Tbl_Nota[DESCUENTOS])</f>
        <v>0</v>
      </c>
      <c r="C17" s="3">
        <f>SUMIF(Tbl_Nota[CATEGORIA],CRITERIOS!$A$4,Tbl_Nota[GRAVADAS])</f>
        <v>0</v>
      </c>
      <c r="D17" s="3">
        <f>SUMIF(Tbl_Nota[CATEGORIA],CRITERIOS!$A$4,Tbl_Nota[EXENTAS])</f>
        <v>0</v>
      </c>
      <c r="E17" s="3">
        <f>SUMIF(Tbl_Nota[CATEGORIA],CRITERIOS!$A$4,Tbl_Nota[SUB_TOTAL1])</f>
        <v>0</v>
      </c>
      <c r="F17" s="3">
        <f>SUMIF(Tbl_Nota[CATEGORIA],CRITERIOS!$A$4,Tbl_Nota[ITBMS])</f>
        <v>0</v>
      </c>
      <c r="G17" s="3">
        <f>SUMIF(Tbl_Nota[CATEGORIA],CRITERIOS!$A$4,Tbl_Nota[CXCOBRAR])</f>
        <v>0</v>
      </c>
      <c r="J17" s="6"/>
    </row>
    <row r="18" spans="1:10" x14ac:dyDescent="0.35">
      <c r="A18" s="2" t="s">
        <v>15</v>
      </c>
      <c r="B18" s="3">
        <f>SUMIF(Tbl_Factura[CATEGORIA],CRITERIOS!$A$5,Tbl_Factura[DESCUENTOS])</f>
        <v>0</v>
      </c>
      <c r="C18" s="3">
        <f>SUMIF(Tbl_Factura[CATEGORIA],CRITERIOS!$A$5,Tbl_Factura[GRAVADAS])</f>
        <v>0</v>
      </c>
      <c r="D18" s="3">
        <f>SUMIF(Tbl_Factura[CATEGORIA],CRITERIOS!$A$5,Tbl_Factura[EXENTAS])</f>
        <v>0</v>
      </c>
      <c r="E18" s="3">
        <f>SUMIF(Tbl_Factura[CATEGORIA],CRITERIOS!$A$5,Tbl_Factura[SUB_TOTAL ])</f>
        <v>0</v>
      </c>
      <c r="F18" s="3">
        <f>SUMIF(Tbl_Factura[CATEGORIA],CRITERIOS!$A$5,Tbl_Factura[ITBMS])</f>
        <v>0</v>
      </c>
      <c r="G18" s="3">
        <f>SUMIF(Tbl_Factura[CATEGORIA],CRITERIOS!$A$5,Tbl_Factura[CXCOBRAR])</f>
        <v>0</v>
      </c>
      <c r="J18" s="6"/>
    </row>
    <row r="19" spans="1:10" ht="15" thickBot="1" x14ac:dyDescent="0.4">
      <c r="A19" s="2" t="s">
        <v>16</v>
      </c>
      <c r="B19" s="3">
        <f>SUMIF(Tbl_Nota[CATEGORIA],CRITERIOS!$A$5,Tbl_Nota[DESCUENTOS])</f>
        <v>0</v>
      </c>
      <c r="C19" s="3">
        <f>SUMIF(Tbl_Nota[CATEGORIA],CRITERIOS!$A$5,Tbl_Nota[GRAVADAS])</f>
        <v>0</v>
      </c>
      <c r="D19" s="3">
        <f>SUMIF(Tbl_Nota[CATEGORIA],CRITERIOS!$A$5,Tbl_Nota[EXENTAS])</f>
        <v>0</v>
      </c>
      <c r="E19" s="3">
        <f>SUMIF(Tbl_Nota[CATEGORIA],CRITERIOS!$A$5,Tbl_Nota[SUB_TOTAL1])</f>
        <v>0</v>
      </c>
      <c r="F19" s="3">
        <f>SUMIF(Tbl_Nota[CATEGORIA],CRITERIOS!$A$5,Tbl_Nota[ITBMS])</f>
        <v>0</v>
      </c>
      <c r="G19" s="3">
        <f>SUMIF(Tbl_Nota[CATEGORIA],CRITERIOS!$A$5,Tbl_Nota[CXCOBRAR])</f>
        <v>0</v>
      </c>
      <c r="I19" s="6"/>
    </row>
    <row r="20" spans="1:10" ht="15" thickBot="1" x14ac:dyDescent="0.4">
      <c r="A20" s="11" t="s">
        <v>17</v>
      </c>
      <c r="B20" s="12">
        <f t="shared" ref="B20:G20" si="1">B16+B18-B17-B19</f>
        <v>0</v>
      </c>
      <c r="C20" s="12">
        <f t="shared" si="1"/>
        <v>0</v>
      </c>
      <c r="D20" s="12">
        <f t="shared" si="1"/>
        <v>0</v>
      </c>
      <c r="E20" s="12">
        <f t="shared" si="1"/>
        <v>0</v>
      </c>
      <c r="F20" s="12">
        <f t="shared" si="1"/>
        <v>0</v>
      </c>
      <c r="G20" s="12">
        <f t="shared" si="1"/>
        <v>0</v>
      </c>
    </row>
    <row r="21" spans="1:10" x14ac:dyDescent="0.35">
      <c r="A21" s="13"/>
      <c r="B21" s="6"/>
      <c r="C21" s="6"/>
      <c r="D21" s="6"/>
      <c r="E21" s="6"/>
      <c r="F21" s="6"/>
      <c r="G21" s="6"/>
    </row>
    <row r="22" spans="1:10" x14ac:dyDescent="0.35">
      <c r="A22" s="13"/>
      <c r="B22" s="6"/>
      <c r="C22" s="6"/>
      <c r="D22" s="6"/>
      <c r="E22" s="6"/>
      <c r="F22" s="6"/>
      <c r="G22" s="6"/>
      <c r="J22" s="14">
        <f>+I7-J16+J7+I16</f>
        <v>0</v>
      </c>
    </row>
    <row r="23" spans="1:10" x14ac:dyDescent="0.35">
      <c r="I23" s="6"/>
    </row>
    <row r="24" spans="1:10" ht="18.5" x14ac:dyDescent="0.45">
      <c r="A24" s="16">
        <v>0.15</v>
      </c>
      <c r="B24" s="17" t="s">
        <v>3</v>
      </c>
      <c r="C24" s="17" t="s">
        <v>12</v>
      </c>
      <c r="D24" s="17" t="s">
        <v>5</v>
      </c>
      <c r="E24" s="17" t="s">
        <v>4</v>
      </c>
      <c r="F24" s="18" t="s">
        <v>2</v>
      </c>
      <c r="G24" s="18" t="s">
        <v>1</v>
      </c>
    </row>
    <row r="25" spans="1:10" x14ac:dyDescent="0.35">
      <c r="A25" s="2" t="s">
        <v>15</v>
      </c>
      <c r="B25" s="3">
        <f>SUMIF(Tbl_Factura[CATEGORIA],CRITERIOS!$A$6,Tbl_Factura[DESCUENTOS])</f>
        <v>0</v>
      </c>
      <c r="C25" s="3">
        <f>SUMIF(Tbl_Factura[CATEGORIA],CRITERIOS!$A$6,Tbl_Factura[GRAVADAS])</f>
        <v>0</v>
      </c>
      <c r="D25" s="3">
        <f>SUMIF(Tbl_Factura[CATEGORIA],CRITERIOS!$A$6,Tbl_Factura[EXENTAS])</f>
        <v>0</v>
      </c>
      <c r="E25" s="3">
        <f>SUMIF(Tbl_Factura[CATEGORIA],CRITERIOS!$A$6,Tbl_Factura[SUB_TOTAL ])</f>
        <v>0</v>
      </c>
      <c r="F25" s="3">
        <f>SUMIF(Tbl_Factura[CATEGORIA],CRITERIOS!$A$6,Tbl_Factura[ITBMS])</f>
        <v>0</v>
      </c>
      <c r="G25" s="3">
        <f>SUMIF(Tbl_Factura[CATEGORIA],CRITERIOS!$A$6,Tbl_Factura[CXCOBRAR])</f>
        <v>0</v>
      </c>
      <c r="J25" s="6"/>
    </row>
    <row r="26" spans="1:10" ht="15" thickBot="1" x14ac:dyDescent="0.4">
      <c r="A26" s="2" t="s">
        <v>16</v>
      </c>
      <c r="B26" s="3">
        <f>SUMIF(Tbl_Nota[CATEGORIA],CRITERIOS!$A$6,Tbl_Nota[DESCUENTOS])</f>
        <v>0</v>
      </c>
      <c r="C26" s="3">
        <f>SUMIF(Tbl_Nota[CATEGORIA],CRITERIOS!$A$6,Tbl_Nota[GRAVADAS])</f>
        <v>0</v>
      </c>
      <c r="D26" s="3">
        <f>SUMIF(Tbl_Nota[CATEGORIA],CRITERIOS!$A$6,Tbl_Nota[EXENTAS])</f>
        <v>0</v>
      </c>
      <c r="E26" s="3">
        <f>SUMIF(Tbl_Nota[CATEGORIA],CRITERIOS!$A$6,Tbl_Nota[SUB_TOTAL1])</f>
        <v>0</v>
      </c>
      <c r="F26" s="3">
        <f>SUMIF(Tbl_Nota[CATEGORIA],CRITERIOS!$A$6,Tbl_Nota[ITBMS])</f>
        <v>0</v>
      </c>
      <c r="G26" s="3">
        <f>SUMIF(Tbl_Nota[CATEGORIA],CRITERIOS!$A$6,Tbl_Nota[CXCOBRAR])</f>
        <v>0</v>
      </c>
      <c r="J26" s="6"/>
    </row>
    <row r="27" spans="1:10" ht="15" thickBot="1" x14ac:dyDescent="0.4">
      <c r="A27" s="11" t="s">
        <v>17</v>
      </c>
      <c r="B27" s="12">
        <f t="shared" ref="B27:G27" si="2">B25-B26</f>
        <v>0</v>
      </c>
      <c r="C27" s="12">
        <f t="shared" si="2"/>
        <v>0</v>
      </c>
      <c r="D27" s="12">
        <f t="shared" si="2"/>
        <v>0</v>
      </c>
      <c r="E27" s="12">
        <f t="shared" si="2"/>
        <v>0</v>
      </c>
      <c r="F27" s="12">
        <f t="shared" si="2"/>
        <v>0</v>
      </c>
      <c r="G27" s="12">
        <f t="shared" si="2"/>
        <v>0</v>
      </c>
    </row>
    <row r="28" spans="1:10" x14ac:dyDescent="0.35">
      <c r="G28" s="6"/>
    </row>
    <row r="29" spans="1:10" ht="15" thickBot="1" x14ac:dyDescent="0.4">
      <c r="J29" s="6">
        <f>+I7+I16+J7-J16</f>
        <v>0</v>
      </c>
    </row>
    <row r="30" spans="1:10" ht="15" thickBot="1" x14ac:dyDescent="0.4">
      <c r="A30" s="11" t="s">
        <v>20</v>
      </c>
      <c r="B30" s="12">
        <f t="shared" ref="B30:G30" si="3">+B10+B20+B27</f>
        <v>0</v>
      </c>
      <c r="C30" s="12">
        <f t="shared" si="3"/>
        <v>0</v>
      </c>
      <c r="D30" s="12">
        <f t="shared" si="3"/>
        <v>0</v>
      </c>
      <c r="E30" s="12">
        <f t="shared" si="3"/>
        <v>0</v>
      </c>
      <c r="F30" s="12">
        <f t="shared" si="3"/>
        <v>0</v>
      </c>
      <c r="G30" s="15">
        <f t="shared" si="3"/>
        <v>0</v>
      </c>
    </row>
    <row r="31" spans="1:10" ht="15" thickBot="1" x14ac:dyDescent="0.4">
      <c r="G31" s="6"/>
    </row>
    <row r="32" spans="1:10" ht="15" thickBot="1" x14ac:dyDescent="0.4">
      <c r="A32" s="41" t="s">
        <v>25</v>
      </c>
      <c r="B32" s="42"/>
      <c r="C32" s="43">
        <v>7.0000000000000007E-2</v>
      </c>
      <c r="D32" s="42"/>
      <c r="E32" s="43">
        <v>0.1</v>
      </c>
      <c r="F32" s="44">
        <v>0.15</v>
      </c>
      <c r="G32" s="45" t="s">
        <v>17</v>
      </c>
    </row>
    <row r="33" spans="1:14" x14ac:dyDescent="0.35">
      <c r="A33" s="38" t="s">
        <v>21</v>
      </c>
      <c r="B33" s="39">
        <f>C6</f>
        <v>0</v>
      </c>
      <c r="C33" s="39">
        <f>F6</f>
        <v>0</v>
      </c>
      <c r="D33" s="39">
        <f>C16</f>
        <v>0</v>
      </c>
      <c r="E33" s="39">
        <f>F16</f>
        <v>0</v>
      </c>
      <c r="F33" s="39"/>
      <c r="G33" s="40">
        <f>SUM(B33:F33)</f>
        <v>0</v>
      </c>
    </row>
    <row r="34" spans="1:14" x14ac:dyDescent="0.35">
      <c r="A34" s="33" t="s">
        <v>16</v>
      </c>
      <c r="B34" s="3">
        <f>C7+C9</f>
        <v>0</v>
      </c>
      <c r="C34" s="3">
        <f>F7+F9</f>
        <v>0</v>
      </c>
      <c r="D34" s="3">
        <f>C17+C19</f>
        <v>0</v>
      </c>
      <c r="E34" s="3">
        <f>F17+F19</f>
        <v>0</v>
      </c>
      <c r="F34" s="3"/>
      <c r="G34" s="34">
        <f>SUM(B34:F34)</f>
        <v>0</v>
      </c>
    </row>
    <row r="35" spans="1:14" x14ac:dyDescent="0.35">
      <c r="A35" s="33" t="s">
        <v>22</v>
      </c>
      <c r="B35" s="3">
        <f>C8</f>
        <v>0</v>
      </c>
      <c r="C35" s="3">
        <f>F8</f>
        <v>0</v>
      </c>
      <c r="D35" s="3">
        <f>C18</f>
        <v>0</v>
      </c>
      <c r="E35" s="3">
        <f>F18</f>
        <v>0</v>
      </c>
      <c r="F35" s="3"/>
      <c r="G35" s="34">
        <f>SUM(B35:F35)</f>
        <v>0</v>
      </c>
    </row>
    <row r="36" spans="1:14" x14ac:dyDescent="0.35">
      <c r="A36" s="33" t="s">
        <v>18</v>
      </c>
      <c r="B36" s="3">
        <f>D10</f>
        <v>0</v>
      </c>
      <c r="C36" s="3"/>
      <c r="D36" s="3">
        <f>D20</f>
        <v>0</v>
      </c>
      <c r="E36" s="3">
        <f>D27</f>
        <v>0</v>
      </c>
      <c r="F36" s="3"/>
      <c r="G36" s="34">
        <f>SUM(B36:F36)</f>
        <v>0</v>
      </c>
    </row>
    <row r="37" spans="1:14" ht="16" thickBot="1" x14ac:dyDescent="0.4">
      <c r="A37" s="35"/>
      <c r="B37" s="36">
        <f>B33+B35+B36-B34</f>
        <v>0</v>
      </c>
      <c r="C37" s="36">
        <f>C33+C35+C36-C34</f>
        <v>0</v>
      </c>
      <c r="D37" s="36">
        <f>D33+D35+D36-D34</f>
        <v>0</v>
      </c>
      <c r="E37" s="36">
        <f>E33+E35+E36-E34</f>
        <v>0</v>
      </c>
      <c r="F37" s="36">
        <f>F33+F35+F36-F34</f>
        <v>0</v>
      </c>
      <c r="G37" s="37">
        <f>SUM(B37:F37)</f>
        <v>0</v>
      </c>
      <c r="J37" s="63">
        <f>+G33-G34+G35+G36</f>
        <v>0</v>
      </c>
    </row>
    <row r="38" spans="1:14" x14ac:dyDescent="0.35">
      <c r="C38" s="6"/>
      <c r="E38" s="6"/>
      <c r="G38" s="6"/>
    </row>
    <row r="39" spans="1:14" x14ac:dyDescent="0.35">
      <c r="N39" s="64"/>
    </row>
    <row r="40" spans="1:14" x14ac:dyDescent="0.35">
      <c r="C40" s="6"/>
      <c r="E40" s="6"/>
      <c r="G40" s="6"/>
    </row>
  </sheetData>
  <pageMargins left="0.23622047244094491" right="0.23622047244094491" top="0.74803149606299213" bottom="0.74803149606299213" header="0.31496062992125984" footer="0.31496062992125984"/>
  <pageSetup paperSize="5" scale="80" orientation="landscape" horizontalDpi="4294967293" verticalDpi="300" r:id="rId1"/>
  <ignoredErrors>
    <ignoredError sqref="B34 C34:E3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59999389629810485"/>
  </sheetPr>
  <dimension ref="A1:M2698"/>
  <sheetViews>
    <sheetView topLeftCell="C1" zoomScale="87" zoomScaleNormal="87" workbookViewId="0">
      <selection activeCell="I3" sqref="I3"/>
    </sheetView>
  </sheetViews>
  <sheetFormatPr baseColWidth="10" defaultColWidth="11.453125" defaultRowHeight="18.899999999999999" customHeight="1" x14ac:dyDescent="0.35"/>
  <cols>
    <col min="1" max="1" width="21.54296875" style="25" customWidth="1"/>
    <col min="2" max="2" width="21.54296875" style="1" customWidth="1"/>
    <col min="3" max="3" width="21.54296875" style="22" customWidth="1"/>
    <col min="4" max="4" width="21.54296875" style="1" customWidth="1"/>
    <col min="5" max="5" width="21.54296875" style="22" customWidth="1"/>
    <col min="6" max="6" width="26.36328125" style="22" customWidth="1"/>
    <col min="7" max="7" width="22" customWidth="1"/>
    <col min="8" max="8" width="21.54296875" style="22" customWidth="1"/>
    <col min="9" max="9" width="22.6328125" style="22" customWidth="1"/>
    <col min="10" max="10" width="21.54296875" style="23" customWidth="1"/>
    <col min="11" max="11" width="11.453125" style="22"/>
    <col min="12" max="12" width="16.36328125" style="22" bestFit="1" customWidth="1"/>
    <col min="13" max="13" width="14.90625" style="25" customWidth="1"/>
    <col min="14" max="16384" width="11.453125" style="22"/>
  </cols>
  <sheetData>
    <row r="1" spans="1:13" ht="30" customHeight="1" x14ac:dyDescent="0.35">
      <c r="A1" s="65" t="s">
        <v>23</v>
      </c>
      <c r="B1" s="26" t="s">
        <v>24</v>
      </c>
      <c r="C1" s="21" t="s">
        <v>33</v>
      </c>
      <c r="D1" s="21" t="s">
        <v>26</v>
      </c>
      <c r="E1" s="21" t="s">
        <v>18</v>
      </c>
      <c r="F1" s="21" t="s">
        <v>34</v>
      </c>
      <c r="G1" s="21" t="s">
        <v>2</v>
      </c>
      <c r="H1" s="21" t="s">
        <v>27</v>
      </c>
      <c r="I1" s="21" t="s">
        <v>25</v>
      </c>
      <c r="J1" s="21" t="s">
        <v>57</v>
      </c>
      <c r="M1" s="22"/>
    </row>
    <row r="2" spans="1:13" s="61" customFormat="1" ht="18.899999999999999" customHeight="1" x14ac:dyDescent="0.35">
      <c r="A2" s="27"/>
      <c r="B2" s="1"/>
      <c r="F2" s="61">
        <f>Tbl_Factura[[#This Row],[GRAVADAS]]+Tbl_Factura[[#This Row],[EXENTAS]]</f>
        <v>0</v>
      </c>
      <c r="G2" s="61">
        <f>IFERROR(ROUND(Tbl_Factura[[#This Row],[GRAVADAS]]*VLOOKUP(Tbl_Factura[[#This Row],[CATEGORIA]],Tbl_Criterio[],2,0),2),0)</f>
        <v>0</v>
      </c>
      <c r="H2" s="61">
        <f>IFERROR(Tbl_Factura[[#This Row],[SUB_TOTAL ]]+Tbl_Factura[[#This Row],[ITBMS]],0)</f>
        <v>0</v>
      </c>
      <c r="I2" s="62"/>
      <c r="J2" s="61" t="str">
        <f>IF(COUNTIFS(Tbl_Factura[FACTURA],Tbl_Factura[[#This Row],[FACTURA]])&gt;1,"REFERENCIA REPETIDA","-")</f>
        <v>-</v>
      </c>
    </row>
    <row r="3" spans="1:13" s="61" customFormat="1" ht="18.899999999999999" customHeight="1" x14ac:dyDescent="0.35">
      <c r="A3" s="20" t="s">
        <v>0</v>
      </c>
      <c r="B3" s="1">
        <f>SUBTOTAL(103,Tbl_Factura[FACTURA])</f>
        <v>0</v>
      </c>
      <c r="C3" s="54"/>
      <c r="D3" s="54"/>
      <c r="E3" s="22"/>
      <c r="F3" s="54"/>
      <c r="G3" s="54"/>
      <c r="H3" s="54"/>
      <c r="I3" s="71"/>
      <c r="J3" s="70"/>
    </row>
    <row r="4" spans="1:13" ht="18.899999999999999" customHeight="1" x14ac:dyDescent="0.35">
      <c r="J4" s="25"/>
      <c r="L4" s="25"/>
      <c r="M4" s="22"/>
    </row>
    <row r="5" spans="1:13" s="61" customFormat="1" ht="18.899999999999999" customHeight="1" x14ac:dyDescent="0.35">
      <c r="A5" s="25"/>
      <c r="B5" s="1"/>
      <c r="C5" s="22"/>
      <c r="D5" s="1"/>
      <c r="E5" s="22"/>
      <c r="F5" s="22"/>
      <c r="G5"/>
      <c r="H5" s="22"/>
      <c r="I5" s="22"/>
      <c r="J5" s="25"/>
    </row>
    <row r="6" spans="1:13" s="61" customFormat="1" ht="18.899999999999999" customHeight="1" x14ac:dyDescent="0.35">
      <c r="A6" s="25"/>
      <c r="B6" s="1"/>
      <c r="C6" s="22"/>
      <c r="D6" s="1"/>
      <c r="E6" s="22"/>
      <c r="F6" s="22"/>
      <c r="G6"/>
      <c r="H6" s="22"/>
      <c r="I6" s="22"/>
      <c r="J6" s="25"/>
    </row>
    <row r="7" spans="1:13" s="61" customFormat="1" ht="18.899999999999999" customHeight="1" x14ac:dyDescent="0.35">
      <c r="A7" s="25"/>
      <c r="B7" s="1"/>
      <c r="C7" s="22"/>
      <c r="D7" s="1"/>
      <c r="E7" s="22"/>
      <c r="F7" s="22"/>
      <c r="G7"/>
      <c r="H7" s="22"/>
      <c r="I7" s="22"/>
      <c r="J7" s="25"/>
    </row>
    <row r="8" spans="1:13" s="61" customFormat="1" ht="18.899999999999999" customHeight="1" x14ac:dyDescent="0.35">
      <c r="A8" s="25"/>
      <c r="B8" s="1"/>
      <c r="C8" s="22"/>
      <c r="D8" s="1"/>
      <c r="E8" s="22"/>
      <c r="F8" s="22"/>
      <c r="G8"/>
      <c r="H8" s="22"/>
      <c r="I8" s="22"/>
      <c r="J8" s="25"/>
    </row>
    <row r="9" spans="1:13" s="61" customFormat="1" ht="18.899999999999999" customHeight="1" x14ac:dyDescent="0.35">
      <c r="A9" s="25"/>
      <c r="B9" s="1"/>
      <c r="C9" s="22"/>
      <c r="D9" s="1"/>
      <c r="E9" s="22"/>
      <c r="F9" s="22"/>
      <c r="G9"/>
      <c r="H9" s="22"/>
      <c r="I9" s="22"/>
      <c r="J9" s="25"/>
    </row>
    <row r="10" spans="1:13" s="61" customFormat="1" ht="18.899999999999999" customHeight="1" x14ac:dyDescent="0.35">
      <c r="A10" s="25"/>
      <c r="B10" s="1"/>
      <c r="C10" s="22"/>
      <c r="D10" s="1"/>
      <c r="E10" s="22"/>
      <c r="F10" s="22"/>
      <c r="G10"/>
      <c r="H10" s="22"/>
      <c r="I10" s="22"/>
      <c r="J10" s="25"/>
    </row>
    <row r="11" spans="1:13" s="61" customFormat="1" ht="18.899999999999999" customHeight="1" x14ac:dyDescent="0.35">
      <c r="A11" s="25"/>
      <c r="B11" s="1"/>
      <c r="C11" s="22"/>
      <c r="D11" s="1"/>
      <c r="E11" s="22"/>
      <c r="F11" s="22"/>
      <c r="G11"/>
      <c r="H11" s="22"/>
      <c r="I11" s="22"/>
      <c r="J11" s="25"/>
    </row>
    <row r="12" spans="1:13" s="61" customFormat="1" ht="18.899999999999999" customHeight="1" x14ac:dyDescent="0.35">
      <c r="A12" s="25"/>
      <c r="B12" s="1"/>
      <c r="C12" s="22"/>
      <c r="D12" s="1"/>
      <c r="E12" s="22"/>
      <c r="F12" s="22"/>
      <c r="G12"/>
      <c r="H12" s="22"/>
      <c r="I12" s="22"/>
      <c r="J12" s="25"/>
    </row>
    <row r="13" spans="1:13" s="61" customFormat="1" ht="18.899999999999999" customHeight="1" x14ac:dyDescent="0.35">
      <c r="A13" s="25"/>
      <c r="B13" s="1"/>
      <c r="C13" s="22"/>
      <c r="D13" s="1"/>
      <c r="E13" s="22"/>
      <c r="F13" s="22"/>
      <c r="G13"/>
      <c r="H13" s="22"/>
      <c r="I13" s="22"/>
      <c r="J13" s="25"/>
    </row>
    <row r="14" spans="1:13" s="61" customFormat="1" ht="18.899999999999999" customHeight="1" x14ac:dyDescent="0.35">
      <c r="A14" s="25"/>
      <c r="B14" s="1"/>
      <c r="C14" s="22"/>
      <c r="D14" s="1"/>
      <c r="E14" s="22"/>
      <c r="F14" s="22"/>
      <c r="G14"/>
      <c r="H14" s="22"/>
      <c r="I14" s="22"/>
      <c r="J14" s="25"/>
    </row>
    <row r="15" spans="1:13" s="61" customFormat="1" ht="18.899999999999999" customHeight="1" x14ac:dyDescent="0.35">
      <c r="A15" s="25"/>
      <c r="B15" s="1"/>
      <c r="C15" s="22"/>
      <c r="D15" s="1"/>
      <c r="E15" s="22"/>
      <c r="F15" s="22"/>
      <c r="G15"/>
      <c r="H15" s="22"/>
      <c r="I15" s="22"/>
      <c r="J15" s="25"/>
    </row>
    <row r="16" spans="1:13" s="61" customFormat="1" ht="18.899999999999999" customHeight="1" x14ac:dyDescent="0.35">
      <c r="A16" s="25"/>
      <c r="B16" s="1"/>
      <c r="C16" s="22"/>
      <c r="D16" s="1"/>
      <c r="E16" s="22"/>
      <c r="F16" s="22"/>
      <c r="G16"/>
      <c r="H16" s="22"/>
      <c r="I16" s="22"/>
      <c r="J16" s="25"/>
    </row>
    <row r="17" spans="1:10" s="61" customFormat="1" ht="18.899999999999999" customHeight="1" x14ac:dyDescent="0.35">
      <c r="A17" s="25"/>
      <c r="B17" s="1"/>
      <c r="C17" s="22"/>
      <c r="D17" s="1"/>
      <c r="E17" s="22"/>
      <c r="F17" s="22"/>
      <c r="G17"/>
      <c r="H17" s="22"/>
      <c r="I17" s="22"/>
      <c r="J17" s="25"/>
    </row>
    <row r="18" spans="1:10" s="61" customFormat="1" ht="18.899999999999999" customHeight="1" x14ac:dyDescent="0.35">
      <c r="A18" s="25"/>
      <c r="B18" s="1"/>
      <c r="C18" s="22"/>
      <c r="D18" s="1"/>
      <c r="E18" s="22"/>
      <c r="F18" s="22"/>
      <c r="G18"/>
      <c r="H18" s="22"/>
      <c r="I18" s="22"/>
      <c r="J18" s="25"/>
    </row>
    <row r="19" spans="1:10" s="61" customFormat="1" ht="18.899999999999999" customHeight="1" x14ac:dyDescent="0.35">
      <c r="A19" s="25"/>
      <c r="B19" s="1"/>
      <c r="C19" s="22"/>
      <c r="D19" s="1"/>
      <c r="E19" s="22"/>
      <c r="F19" s="22"/>
      <c r="G19" s="22"/>
      <c r="H19" s="22"/>
      <c r="I19" s="22"/>
      <c r="J19" s="25"/>
    </row>
    <row r="20" spans="1:10" s="61" customFormat="1" ht="18.899999999999999" customHeight="1" x14ac:dyDescent="0.35">
      <c r="A20" s="25"/>
      <c r="B20" s="1"/>
      <c r="C20" s="22"/>
      <c r="D20" s="1"/>
      <c r="E20" s="22"/>
      <c r="F20" s="22"/>
      <c r="G20" s="22"/>
      <c r="H20" s="22"/>
      <c r="I20" s="22"/>
      <c r="J20" s="25"/>
    </row>
    <row r="21" spans="1:10" s="61" customFormat="1" ht="18.899999999999999" customHeight="1" x14ac:dyDescent="0.35">
      <c r="A21" s="25"/>
      <c r="B21" s="1"/>
      <c r="C21" s="22"/>
      <c r="D21" s="1"/>
      <c r="E21" s="22"/>
      <c r="F21" s="22"/>
      <c r="G21" s="22"/>
      <c r="H21" s="22"/>
      <c r="I21" s="22"/>
      <c r="J21" s="25"/>
    </row>
    <row r="22" spans="1:10" s="61" customFormat="1" ht="18.899999999999999" customHeight="1" x14ac:dyDescent="0.35">
      <c r="A22" s="25"/>
      <c r="B22" s="1"/>
      <c r="C22" s="22"/>
      <c r="D22" s="1"/>
      <c r="E22" s="22"/>
      <c r="F22" s="22"/>
      <c r="G22" s="22"/>
      <c r="H22" s="22"/>
      <c r="I22" s="22"/>
      <c r="J22" s="25"/>
    </row>
    <row r="23" spans="1:10" s="61" customFormat="1" ht="18.899999999999999" customHeight="1" x14ac:dyDescent="0.35">
      <c r="A23" s="25"/>
      <c r="B23" s="1"/>
      <c r="C23" s="22"/>
      <c r="D23" s="1"/>
      <c r="E23" s="22"/>
      <c r="F23" s="22"/>
      <c r="G23"/>
      <c r="H23" s="22"/>
      <c r="I23" s="22"/>
      <c r="J23" s="25"/>
    </row>
    <row r="24" spans="1:10" s="61" customFormat="1" ht="18.899999999999999" customHeight="1" x14ac:dyDescent="0.35">
      <c r="A24" s="25"/>
      <c r="B24" s="1"/>
      <c r="C24" s="22"/>
      <c r="D24" s="1"/>
      <c r="E24" s="22"/>
      <c r="F24" s="22"/>
      <c r="G24"/>
      <c r="H24" s="22"/>
      <c r="I24" s="22"/>
      <c r="J24" s="25"/>
    </row>
    <row r="25" spans="1:10" s="61" customFormat="1" ht="18.899999999999999" customHeight="1" x14ac:dyDescent="0.35">
      <c r="A25" s="25"/>
      <c r="B25" s="1"/>
      <c r="C25" s="22"/>
      <c r="D25" s="1"/>
      <c r="E25" s="22"/>
      <c r="F25" s="22"/>
      <c r="G25"/>
      <c r="H25" s="22"/>
      <c r="I25" s="22"/>
      <c r="J25" s="25"/>
    </row>
    <row r="26" spans="1:10" s="61" customFormat="1" ht="18.899999999999999" customHeight="1" x14ac:dyDescent="0.35">
      <c r="A26" s="25"/>
      <c r="B26" s="1"/>
      <c r="C26" s="22"/>
      <c r="D26" s="1"/>
      <c r="E26" s="22"/>
      <c r="F26" s="22"/>
      <c r="G26"/>
      <c r="H26" s="22"/>
      <c r="I26" s="22"/>
      <c r="J26" s="25"/>
    </row>
    <row r="27" spans="1:10" s="61" customFormat="1" ht="18.899999999999999" customHeight="1" x14ac:dyDescent="0.35">
      <c r="A27" s="25"/>
      <c r="B27" s="1"/>
      <c r="C27" s="22"/>
      <c r="D27" s="1"/>
      <c r="E27" s="22"/>
      <c r="F27" s="22"/>
      <c r="G27"/>
      <c r="H27" s="22"/>
      <c r="I27" s="22"/>
      <c r="J27" s="25"/>
    </row>
    <row r="28" spans="1:10" s="61" customFormat="1" ht="18.899999999999999" customHeight="1" x14ac:dyDescent="0.35">
      <c r="A28" s="25"/>
      <c r="B28" s="1"/>
      <c r="C28" s="22"/>
      <c r="D28" s="1"/>
      <c r="E28" s="22"/>
      <c r="F28" s="22"/>
      <c r="G28"/>
      <c r="H28" s="22"/>
      <c r="I28" s="22"/>
      <c r="J28" s="25"/>
    </row>
    <row r="29" spans="1:10" s="61" customFormat="1" ht="18.899999999999999" customHeight="1" x14ac:dyDescent="0.35">
      <c r="A29" s="25"/>
      <c r="B29" s="1"/>
      <c r="C29" s="22"/>
      <c r="D29" s="1"/>
      <c r="E29" s="22"/>
      <c r="F29" s="22"/>
      <c r="G29"/>
      <c r="H29" s="22"/>
      <c r="I29" s="22"/>
      <c r="J29" s="25"/>
    </row>
    <row r="30" spans="1:10" s="61" customFormat="1" ht="18.899999999999999" customHeight="1" x14ac:dyDescent="0.35">
      <c r="A30" s="25"/>
      <c r="B30" s="1"/>
      <c r="C30" s="22"/>
      <c r="D30" s="1"/>
      <c r="E30" s="22"/>
      <c r="F30" s="22"/>
      <c r="G30"/>
      <c r="H30" s="22"/>
      <c r="I30" s="22"/>
      <c r="J30" s="25"/>
    </row>
    <row r="31" spans="1:10" s="61" customFormat="1" ht="18.899999999999999" customHeight="1" x14ac:dyDescent="0.35">
      <c r="A31" s="25"/>
      <c r="B31" s="1"/>
      <c r="C31" s="22"/>
      <c r="D31" s="1"/>
      <c r="E31" s="22"/>
      <c r="F31" s="22"/>
      <c r="G31"/>
      <c r="H31" s="22"/>
      <c r="I31" s="22"/>
      <c r="J31" s="25"/>
    </row>
    <row r="32" spans="1:10" s="61" customFormat="1" ht="18.899999999999999" customHeight="1" x14ac:dyDescent="0.35">
      <c r="A32" s="25"/>
      <c r="B32" s="1"/>
      <c r="C32" s="22"/>
      <c r="D32" s="1"/>
      <c r="E32" s="22"/>
      <c r="F32" s="22"/>
      <c r="G32"/>
      <c r="H32" s="22"/>
      <c r="I32" s="22"/>
      <c r="J32" s="25"/>
    </row>
    <row r="33" spans="1:10" s="61" customFormat="1" ht="18.899999999999999" customHeight="1" x14ac:dyDescent="0.35">
      <c r="A33" s="25"/>
      <c r="B33" s="1"/>
      <c r="C33" s="22"/>
      <c r="D33" s="1"/>
      <c r="E33" s="22"/>
      <c r="F33" s="22"/>
      <c r="G33"/>
      <c r="H33" s="22"/>
      <c r="I33" s="22"/>
      <c r="J33" s="25"/>
    </row>
    <row r="34" spans="1:10" s="61" customFormat="1" ht="18.899999999999999" customHeight="1" x14ac:dyDescent="0.35">
      <c r="A34" s="25"/>
      <c r="B34" s="1"/>
      <c r="C34" s="22"/>
      <c r="D34" s="1"/>
      <c r="E34" s="22"/>
      <c r="F34" s="22"/>
      <c r="G34"/>
      <c r="H34" s="22"/>
      <c r="I34" s="22"/>
      <c r="J34" s="25"/>
    </row>
    <row r="35" spans="1:10" s="61" customFormat="1" ht="18.899999999999999" customHeight="1" x14ac:dyDescent="0.35">
      <c r="A35" s="25"/>
      <c r="B35" s="1"/>
      <c r="C35" s="22"/>
      <c r="D35" s="1"/>
      <c r="E35" s="22"/>
      <c r="F35" s="22"/>
      <c r="G35"/>
      <c r="H35" s="22"/>
      <c r="I35" s="22"/>
      <c r="J35" s="25"/>
    </row>
    <row r="36" spans="1:10" s="61" customFormat="1" ht="18.899999999999999" customHeight="1" x14ac:dyDescent="0.35">
      <c r="A36" s="25"/>
      <c r="B36" s="1"/>
      <c r="C36" s="22"/>
      <c r="D36" s="1"/>
      <c r="E36" s="22"/>
      <c r="F36" s="22"/>
      <c r="G36"/>
      <c r="H36" s="22"/>
      <c r="I36" s="22"/>
      <c r="J36" s="25"/>
    </row>
    <row r="37" spans="1:10" s="61" customFormat="1" ht="18.899999999999999" customHeight="1" x14ac:dyDescent="0.35">
      <c r="A37" s="25"/>
      <c r="B37" s="1"/>
      <c r="C37" s="22"/>
      <c r="D37" s="1"/>
      <c r="E37" s="22"/>
      <c r="F37" s="22"/>
      <c r="G37"/>
      <c r="H37" s="22"/>
      <c r="I37" s="22"/>
      <c r="J37" s="25"/>
    </row>
    <row r="38" spans="1:10" s="61" customFormat="1" ht="18.899999999999999" customHeight="1" x14ac:dyDescent="0.35">
      <c r="A38" s="25"/>
      <c r="B38" s="1"/>
      <c r="C38" s="22"/>
      <c r="D38" s="1"/>
      <c r="E38" s="22"/>
      <c r="F38" s="22"/>
      <c r="G38"/>
      <c r="H38" s="22"/>
      <c r="I38" s="22"/>
      <c r="J38" s="25"/>
    </row>
    <row r="39" spans="1:10" s="61" customFormat="1" ht="18.899999999999999" customHeight="1" x14ac:dyDescent="0.35">
      <c r="A39" s="25"/>
      <c r="B39" s="1"/>
      <c r="C39" s="22"/>
      <c r="D39" s="1"/>
      <c r="E39" s="22"/>
      <c r="F39" s="22"/>
      <c r="G39"/>
      <c r="H39" s="22"/>
      <c r="I39" s="22"/>
      <c r="J39" s="25"/>
    </row>
    <row r="40" spans="1:10" s="61" customFormat="1" ht="18.899999999999999" customHeight="1" x14ac:dyDescent="0.35">
      <c r="A40" s="25"/>
      <c r="B40" s="1"/>
      <c r="C40" s="22"/>
      <c r="D40" s="1"/>
      <c r="E40" s="22"/>
      <c r="F40" s="22"/>
      <c r="G40"/>
      <c r="H40" s="22"/>
      <c r="I40" s="22"/>
      <c r="J40" s="25"/>
    </row>
    <row r="41" spans="1:10" s="61" customFormat="1" ht="18.899999999999999" customHeight="1" x14ac:dyDescent="0.35">
      <c r="A41" s="25"/>
      <c r="B41" s="1"/>
      <c r="C41" s="22"/>
      <c r="D41" s="1"/>
      <c r="E41" s="22"/>
      <c r="F41" s="22"/>
      <c r="G41"/>
      <c r="H41" s="22"/>
      <c r="I41" s="22"/>
      <c r="J41" s="25"/>
    </row>
    <row r="42" spans="1:10" s="61" customFormat="1" ht="18.899999999999999" customHeight="1" x14ac:dyDescent="0.35">
      <c r="A42" s="25"/>
      <c r="B42" s="1"/>
      <c r="C42" s="22"/>
      <c r="D42" s="1"/>
      <c r="E42" s="22"/>
      <c r="F42" s="22"/>
      <c r="G42"/>
      <c r="H42" s="22"/>
      <c r="I42" s="22"/>
      <c r="J42" s="25"/>
    </row>
    <row r="43" spans="1:10" s="61" customFormat="1" ht="18.899999999999999" customHeight="1" x14ac:dyDescent="0.35">
      <c r="A43" s="25"/>
      <c r="B43" s="1"/>
      <c r="C43" s="22"/>
      <c r="D43" s="1"/>
      <c r="E43" s="22"/>
      <c r="F43" s="22"/>
      <c r="G43"/>
      <c r="H43" s="22"/>
      <c r="I43" s="22"/>
      <c r="J43" s="25"/>
    </row>
    <row r="44" spans="1:10" s="61" customFormat="1" ht="18.899999999999999" customHeight="1" x14ac:dyDescent="0.35">
      <c r="A44" s="25"/>
      <c r="B44" s="1"/>
      <c r="C44" s="22"/>
      <c r="D44" s="1"/>
      <c r="E44" s="22"/>
      <c r="F44" s="22"/>
      <c r="G44"/>
      <c r="H44" s="22"/>
      <c r="I44" s="22"/>
      <c r="J44" s="25"/>
    </row>
    <row r="45" spans="1:10" s="61" customFormat="1" ht="18.899999999999999" customHeight="1" x14ac:dyDescent="0.35">
      <c r="A45" s="25"/>
      <c r="B45" s="1"/>
      <c r="C45" s="22"/>
      <c r="D45" s="1"/>
      <c r="E45" s="22"/>
      <c r="F45" s="22"/>
      <c r="G45"/>
      <c r="H45" s="22"/>
      <c r="I45" s="22"/>
      <c r="J45" s="25"/>
    </row>
    <row r="46" spans="1:10" s="61" customFormat="1" ht="18.899999999999999" customHeight="1" x14ac:dyDescent="0.35">
      <c r="A46" s="25"/>
      <c r="B46" s="1"/>
      <c r="C46" s="22"/>
      <c r="D46" s="1"/>
      <c r="E46" s="22"/>
      <c r="F46" s="22"/>
      <c r="G46"/>
      <c r="H46" s="22"/>
      <c r="I46" s="22"/>
      <c r="J46" s="25"/>
    </row>
    <row r="47" spans="1:10" s="61" customFormat="1" ht="18.899999999999999" customHeight="1" x14ac:dyDescent="0.35">
      <c r="A47" s="25"/>
      <c r="B47" s="1"/>
      <c r="C47" s="22"/>
      <c r="D47" s="1"/>
      <c r="E47" s="22"/>
      <c r="F47" s="22"/>
      <c r="G47"/>
      <c r="H47" s="22"/>
      <c r="I47" s="22"/>
      <c r="J47" s="25"/>
    </row>
    <row r="48" spans="1:10" s="61" customFormat="1" ht="18.899999999999999" customHeight="1" x14ac:dyDescent="0.35">
      <c r="A48" s="25"/>
      <c r="B48" s="1"/>
      <c r="C48" s="22"/>
      <c r="D48" s="1"/>
      <c r="E48" s="22"/>
      <c r="F48" s="22"/>
      <c r="G48"/>
      <c r="H48" s="22"/>
      <c r="I48" s="22"/>
      <c r="J48" s="25"/>
    </row>
    <row r="49" spans="1:10" s="61" customFormat="1" ht="18.899999999999999" customHeight="1" x14ac:dyDescent="0.35">
      <c r="A49" s="25"/>
      <c r="B49" s="1"/>
      <c r="C49" s="22"/>
      <c r="D49" s="1"/>
      <c r="E49" s="22"/>
      <c r="F49" s="22"/>
      <c r="G49"/>
      <c r="H49" s="22"/>
      <c r="I49" s="22"/>
      <c r="J49" s="25"/>
    </row>
    <row r="50" spans="1:10" s="61" customFormat="1" ht="18.899999999999999" customHeight="1" x14ac:dyDescent="0.35">
      <c r="A50" s="25"/>
      <c r="B50" s="1"/>
      <c r="C50" s="22"/>
      <c r="D50" s="1"/>
      <c r="E50" s="22"/>
      <c r="F50" s="22"/>
      <c r="G50"/>
      <c r="H50" s="22"/>
      <c r="I50" s="22"/>
      <c r="J50" s="25"/>
    </row>
    <row r="51" spans="1:10" s="61" customFormat="1" ht="18.899999999999999" customHeight="1" x14ac:dyDescent="0.35">
      <c r="A51" s="25"/>
      <c r="B51" s="1"/>
      <c r="C51" s="22"/>
      <c r="D51" s="1"/>
      <c r="E51" s="22"/>
      <c r="F51" s="22"/>
      <c r="G51"/>
      <c r="H51" s="22"/>
      <c r="I51" s="22"/>
      <c r="J51" s="25"/>
    </row>
    <row r="52" spans="1:10" s="61" customFormat="1" ht="18.899999999999999" customHeight="1" x14ac:dyDescent="0.35">
      <c r="A52" s="25"/>
      <c r="B52" s="1"/>
      <c r="C52" s="22"/>
      <c r="D52" s="1"/>
      <c r="E52" s="22"/>
      <c r="F52" s="22"/>
      <c r="G52"/>
      <c r="H52" s="22"/>
      <c r="I52" s="22"/>
      <c r="J52" s="25"/>
    </row>
    <row r="53" spans="1:10" s="61" customFormat="1" ht="18.899999999999999" customHeight="1" x14ac:dyDescent="0.35">
      <c r="A53" s="25"/>
      <c r="B53" s="1"/>
      <c r="C53" s="22"/>
      <c r="D53" s="1"/>
      <c r="E53" s="22"/>
      <c r="F53" s="22"/>
      <c r="G53"/>
      <c r="H53" s="22"/>
      <c r="I53" s="22"/>
      <c r="J53" s="25"/>
    </row>
    <row r="54" spans="1:10" s="61" customFormat="1" ht="18.899999999999999" customHeight="1" x14ac:dyDescent="0.35">
      <c r="A54" s="25"/>
      <c r="B54" s="1"/>
      <c r="C54" s="22"/>
      <c r="D54" s="1"/>
      <c r="E54" s="22"/>
      <c r="F54" s="22"/>
      <c r="G54"/>
      <c r="H54" s="22"/>
      <c r="I54" s="22"/>
      <c r="J54" s="25"/>
    </row>
    <row r="55" spans="1:10" s="61" customFormat="1" ht="18.899999999999999" customHeight="1" x14ac:dyDescent="0.35">
      <c r="A55" s="25"/>
      <c r="B55" s="1"/>
      <c r="C55" s="22"/>
      <c r="D55" s="1"/>
      <c r="E55" s="22"/>
      <c r="F55" s="22"/>
      <c r="G55"/>
      <c r="H55" s="22"/>
      <c r="I55" s="22"/>
      <c r="J55" s="25"/>
    </row>
    <row r="56" spans="1:10" s="61" customFormat="1" ht="18.899999999999999" customHeight="1" x14ac:dyDescent="0.35">
      <c r="A56" s="25"/>
      <c r="B56" s="1"/>
      <c r="C56" s="22"/>
      <c r="D56" s="1"/>
      <c r="E56" s="22"/>
      <c r="F56" s="22"/>
      <c r="G56"/>
      <c r="H56" s="22"/>
      <c r="I56" s="22"/>
      <c r="J56" s="25"/>
    </row>
    <row r="57" spans="1:10" s="61" customFormat="1" ht="18.899999999999999" customHeight="1" x14ac:dyDescent="0.35">
      <c r="A57" s="25"/>
      <c r="B57" s="1"/>
      <c r="C57" s="22"/>
      <c r="D57" s="1"/>
      <c r="E57" s="22"/>
      <c r="F57" s="22"/>
      <c r="G57"/>
      <c r="H57" s="22"/>
      <c r="I57" s="22"/>
      <c r="J57" s="25"/>
    </row>
    <row r="58" spans="1:10" s="61" customFormat="1" ht="18.899999999999999" customHeight="1" x14ac:dyDescent="0.35">
      <c r="A58" s="25"/>
      <c r="B58" s="1"/>
      <c r="C58" s="22"/>
      <c r="D58" s="1"/>
      <c r="E58" s="22"/>
      <c r="F58" s="22"/>
      <c r="G58"/>
      <c r="H58" s="22"/>
      <c r="I58" s="22"/>
      <c r="J58" s="25"/>
    </row>
    <row r="59" spans="1:10" s="61" customFormat="1" ht="18.899999999999999" customHeight="1" x14ac:dyDescent="0.35">
      <c r="A59" s="25"/>
      <c r="B59" s="1"/>
      <c r="C59" s="22"/>
      <c r="D59" s="1"/>
      <c r="E59" s="22"/>
      <c r="F59" s="22"/>
      <c r="G59"/>
      <c r="H59" s="22"/>
      <c r="I59" s="22"/>
      <c r="J59" s="25"/>
    </row>
    <row r="60" spans="1:10" s="61" customFormat="1" ht="18.899999999999999" customHeight="1" x14ac:dyDescent="0.35">
      <c r="A60" s="25"/>
      <c r="B60" s="1"/>
      <c r="C60" s="22"/>
      <c r="D60" s="1"/>
      <c r="E60" s="22"/>
      <c r="F60" s="22"/>
      <c r="G60"/>
      <c r="H60" s="22"/>
      <c r="I60" s="22"/>
      <c r="J60" s="25"/>
    </row>
    <row r="61" spans="1:10" s="61" customFormat="1" ht="18.899999999999999" customHeight="1" x14ac:dyDescent="0.35">
      <c r="A61" s="25"/>
      <c r="B61" s="1"/>
      <c r="C61" s="22"/>
      <c r="D61" s="1"/>
      <c r="E61" s="22"/>
      <c r="F61" s="22"/>
      <c r="G61"/>
      <c r="H61" s="22"/>
      <c r="I61" s="22"/>
      <c r="J61" s="25"/>
    </row>
    <row r="62" spans="1:10" s="61" customFormat="1" ht="18.899999999999999" customHeight="1" x14ac:dyDescent="0.35">
      <c r="A62" s="25"/>
      <c r="B62" s="1"/>
      <c r="C62" s="22"/>
      <c r="D62" s="1"/>
      <c r="E62" s="22"/>
      <c r="F62" s="22"/>
      <c r="G62"/>
      <c r="H62" s="22"/>
      <c r="I62" s="22"/>
      <c r="J62" s="25"/>
    </row>
    <row r="63" spans="1:10" s="61" customFormat="1" ht="18.899999999999999" customHeight="1" x14ac:dyDescent="0.35">
      <c r="A63" s="25"/>
      <c r="B63" s="1"/>
      <c r="C63" s="22"/>
      <c r="D63" s="1"/>
      <c r="E63" s="22"/>
      <c r="F63" s="22"/>
      <c r="G63"/>
      <c r="H63" s="22"/>
      <c r="I63" s="22"/>
      <c r="J63" s="25"/>
    </row>
    <row r="64" spans="1:10" s="61" customFormat="1" ht="18.899999999999999" customHeight="1" x14ac:dyDescent="0.35">
      <c r="A64" s="25"/>
      <c r="B64" s="1"/>
      <c r="C64" s="22"/>
      <c r="D64" s="1"/>
      <c r="E64" s="22"/>
      <c r="F64" s="22"/>
      <c r="G64"/>
      <c r="H64" s="22"/>
      <c r="I64" s="22"/>
      <c r="J64" s="25"/>
    </row>
    <row r="65" spans="1:10" s="61" customFormat="1" ht="18.899999999999999" customHeight="1" x14ac:dyDescent="0.35">
      <c r="A65" s="25"/>
      <c r="B65" s="1"/>
      <c r="C65" s="22"/>
      <c r="D65" s="1"/>
      <c r="E65" s="22"/>
      <c r="F65" s="22"/>
      <c r="G65"/>
      <c r="H65" s="22"/>
      <c r="I65" s="22"/>
      <c r="J65" s="25"/>
    </row>
    <row r="66" spans="1:10" s="61" customFormat="1" ht="18.899999999999999" customHeight="1" x14ac:dyDescent="0.35">
      <c r="A66" s="25"/>
      <c r="B66" s="1"/>
      <c r="C66" s="22"/>
      <c r="D66" s="1"/>
      <c r="E66" s="22"/>
      <c r="F66" s="22"/>
      <c r="G66"/>
      <c r="H66" s="22"/>
      <c r="I66" s="22"/>
      <c r="J66" s="25"/>
    </row>
    <row r="67" spans="1:10" s="61" customFormat="1" ht="18.899999999999999" customHeight="1" x14ac:dyDescent="0.35">
      <c r="A67" s="25"/>
      <c r="B67" s="1"/>
      <c r="C67" s="22"/>
      <c r="D67" s="1"/>
      <c r="E67" s="22"/>
      <c r="F67" s="22"/>
      <c r="G67"/>
      <c r="H67" s="22"/>
      <c r="I67" s="22"/>
      <c r="J67" s="25"/>
    </row>
    <row r="68" spans="1:10" s="61" customFormat="1" ht="18.899999999999999" customHeight="1" x14ac:dyDescent="0.35">
      <c r="A68" s="25"/>
      <c r="B68" s="1"/>
      <c r="C68" s="22"/>
      <c r="D68" s="1"/>
      <c r="E68" s="22"/>
      <c r="F68" s="22"/>
      <c r="G68"/>
      <c r="H68" s="22"/>
      <c r="I68" s="22"/>
      <c r="J68" s="25"/>
    </row>
    <row r="69" spans="1:10" s="61" customFormat="1" ht="18.899999999999999" customHeight="1" x14ac:dyDescent="0.35">
      <c r="A69" s="25"/>
      <c r="B69" s="1"/>
      <c r="C69" s="22"/>
      <c r="D69" s="1"/>
      <c r="E69" s="22"/>
      <c r="F69" s="22"/>
      <c r="G69"/>
      <c r="H69" s="22"/>
      <c r="I69" s="22"/>
      <c r="J69" s="25"/>
    </row>
    <row r="70" spans="1:10" s="61" customFormat="1" ht="18.899999999999999" customHeight="1" x14ac:dyDescent="0.35">
      <c r="A70" s="25"/>
      <c r="B70" s="1"/>
      <c r="C70" s="22"/>
      <c r="D70" s="1"/>
      <c r="E70" s="22"/>
      <c r="F70" s="22"/>
      <c r="G70"/>
      <c r="H70" s="22"/>
      <c r="I70" s="22"/>
      <c r="J70" s="25"/>
    </row>
    <row r="71" spans="1:10" s="61" customFormat="1" ht="18.899999999999999" customHeight="1" x14ac:dyDescent="0.35">
      <c r="A71" s="25"/>
      <c r="B71" s="1"/>
      <c r="C71" s="22"/>
      <c r="D71" s="1"/>
      <c r="E71" s="22"/>
      <c r="F71" s="22"/>
      <c r="G71"/>
      <c r="H71" s="22"/>
      <c r="I71" s="22"/>
      <c r="J71" s="25"/>
    </row>
    <row r="72" spans="1:10" s="61" customFormat="1" ht="18.899999999999999" customHeight="1" x14ac:dyDescent="0.35">
      <c r="A72" s="25"/>
      <c r="B72" s="1"/>
      <c r="C72" s="22"/>
      <c r="D72" s="1"/>
      <c r="E72" s="22"/>
      <c r="F72" s="22"/>
      <c r="G72"/>
      <c r="H72" s="22"/>
      <c r="I72" s="22"/>
      <c r="J72" s="25"/>
    </row>
    <row r="73" spans="1:10" s="61" customFormat="1" ht="18.899999999999999" customHeight="1" x14ac:dyDescent="0.35">
      <c r="A73" s="25"/>
      <c r="B73" s="1"/>
      <c r="C73" s="22"/>
      <c r="D73" s="1"/>
      <c r="E73" s="22"/>
      <c r="F73" s="22"/>
      <c r="G73"/>
      <c r="H73" s="22"/>
      <c r="I73" s="22"/>
      <c r="J73" s="25"/>
    </row>
    <row r="74" spans="1:10" s="61" customFormat="1" ht="18.899999999999999" customHeight="1" x14ac:dyDescent="0.35">
      <c r="A74" s="25"/>
      <c r="B74" s="1"/>
      <c r="C74" s="22"/>
      <c r="D74" s="1"/>
      <c r="E74" s="22"/>
      <c r="F74" s="22"/>
      <c r="G74"/>
      <c r="H74" s="22"/>
      <c r="I74" s="22"/>
      <c r="J74" s="25"/>
    </row>
    <row r="75" spans="1:10" s="61" customFormat="1" ht="18.899999999999999" customHeight="1" x14ac:dyDescent="0.35">
      <c r="A75" s="25"/>
      <c r="B75" s="1"/>
      <c r="C75" s="22"/>
      <c r="D75" s="1"/>
      <c r="E75" s="22"/>
      <c r="F75" s="22"/>
      <c r="G75"/>
      <c r="H75" s="22"/>
      <c r="I75" s="22"/>
      <c r="J75" s="25"/>
    </row>
    <row r="76" spans="1:10" s="61" customFormat="1" ht="18.899999999999999" customHeight="1" x14ac:dyDescent="0.35">
      <c r="A76" s="25"/>
      <c r="B76" s="1"/>
      <c r="C76" s="22"/>
      <c r="D76" s="1"/>
      <c r="E76" s="22"/>
      <c r="F76" s="22"/>
      <c r="G76"/>
      <c r="H76" s="22"/>
      <c r="I76" s="22"/>
      <c r="J76" s="25"/>
    </row>
    <row r="77" spans="1:10" s="61" customFormat="1" ht="18.899999999999999" customHeight="1" x14ac:dyDescent="0.35">
      <c r="A77" s="25"/>
      <c r="B77" s="1"/>
      <c r="C77" s="22"/>
      <c r="D77" s="1"/>
      <c r="E77" s="22"/>
      <c r="F77" s="22"/>
      <c r="G77"/>
      <c r="H77" s="22"/>
      <c r="I77" s="22"/>
      <c r="J77" s="25"/>
    </row>
    <row r="78" spans="1:10" s="61" customFormat="1" ht="18.899999999999999" customHeight="1" x14ac:dyDescent="0.35">
      <c r="A78" s="25"/>
      <c r="B78" s="1"/>
      <c r="C78" s="22"/>
      <c r="D78" s="1"/>
      <c r="E78" s="22"/>
      <c r="F78" s="22"/>
      <c r="G78"/>
      <c r="H78" s="22"/>
      <c r="I78" s="22"/>
      <c r="J78" s="25"/>
    </row>
    <row r="79" spans="1:10" s="61" customFormat="1" ht="18.899999999999999" customHeight="1" x14ac:dyDescent="0.35">
      <c r="A79" s="25"/>
      <c r="B79" s="1"/>
      <c r="C79" s="22"/>
      <c r="D79" s="1"/>
      <c r="E79" s="22"/>
      <c r="F79" s="22"/>
      <c r="G79"/>
      <c r="H79" s="22"/>
      <c r="I79" s="22"/>
      <c r="J79" s="25"/>
    </row>
    <row r="80" spans="1:10" s="61" customFormat="1" ht="18.899999999999999" customHeight="1" x14ac:dyDescent="0.35">
      <c r="A80" s="25"/>
      <c r="B80" s="1"/>
      <c r="C80" s="22"/>
      <c r="D80" s="1"/>
      <c r="E80" s="22"/>
      <c r="F80" s="22"/>
      <c r="G80"/>
      <c r="H80" s="22"/>
      <c r="I80" s="22"/>
      <c r="J80" s="25"/>
    </row>
    <row r="81" spans="1:10" s="61" customFormat="1" ht="18.899999999999999" customHeight="1" x14ac:dyDescent="0.35">
      <c r="A81" s="25"/>
      <c r="B81" s="1"/>
      <c r="C81" s="22"/>
      <c r="D81" s="1"/>
      <c r="E81" s="22"/>
      <c r="F81" s="22"/>
      <c r="G81"/>
      <c r="H81" s="22"/>
      <c r="I81" s="22"/>
      <c r="J81" s="25"/>
    </row>
    <row r="82" spans="1:10" s="61" customFormat="1" ht="18.899999999999999" customHeight="1" x14ac:dyDescent="0.35">
      <c r="A82" s="25"/>
      <c r="B82" s="1"/>
      <c r="C82" s="22"/>
      <c r="D82" s="1"/>
      <c r="E82" s="22"/>
      <c r="F82" s="22"/>
      <c r="G82"/>
      <c r="H82" s="22"/>
      <c r="I82" s="22"/>
      <c r="J82" s="25"/>
    </row>
    <row r="83" spans="1:10" s="61" customFormat="1" ht="18.899999999999999" customHeight="1" x14ac:dyDescent="0.35">
      <c r="A83" s="25"/>
      <c r="B83" s="1"/>
      <c r="C83" s="22"/>
      <c r="D83" s="1"/>
      <c r="E83" s="22"/>
      <c r="F83" s="22"/>
      <c r="G83"/>
      <c r="H83" s="22"/>
      <c r="I83" s="22"/>
      <c r="J83" s="25"/>
    </row>
    <row r="84" spans="1:10" s="61" customFormat="1" ht="18.899999999999999" customHeight="1" x14ac:dyDescent="0.35">
      <c r="A84" s="25"/>
      <c r="B84" s="1"/>
      <c r="C84" s="22"/>
      <c r="D84" s="1"/>
      <c r="E84" s="22"/>
      <c r="F84" s="22"/>
      <c r="G84"/>
      <c r="H84" s="22"/>
      <c r="I84" s="22"/>
      <c r="J84" s="25"/>
    </row>
    <row r="85" spans="1:10" s="61" customFormat="1" ht="18.899999999999999" customHeight="1" x14ac:dyDescent="0.35">
      <c r="A85" s="25"/>
      <c r="B85" s="1"/>
      <c r="C85" s="22"/>
      <c r="D85" s="1"/>
      <c r="E85" s="22"/>
      <c r="F85" s="22"/>
      <c r="G85"/>
      <c r="H85" s="22"/>
      <c r="I85" s="22"/>
      <c r="J85" s="25"/>
    </row>
    <row r="86" spans="1:10" s="61" customFormat="1" ht="18.899999999999999" customHeight="1" x14ac:dyDescent="0.35">
      <c r="A86" s="25"/>
      <c r="B86" s="1"/>
      <c r="C86" s="22"/>
      <c r="D86" s="1"/>
      <c r="E86" s="22"/>
      <c r="F86" s="22"/>
      <c r="G86"/>
      <c r="H86" s="22"/>
      <c r="I86" s="22"/>
      <c r="J86" s="25"/>
    </row>
    <row r="87" spans="1:10" s="61" customFormat="1" ht="18.899999999999999" customHeight="1" x14ac:dyDescent="0.35">
      <c r="A87" s="25"/>
      <c r="B87" s="1"/>
      <c r="C87" s="22"/>
      <c r="D87" s="1"/>
      <c r="E87" s="22"/>
      <c r="F87" s="22"/>
      <c r="G87"/>
      <c r="H87" s="22"/>
      <c r="I87" s="22"/>
      <c r="J87" s="25"/>
    </row>
    <row r="88" spans="1:10" s="61" customFormat="1" ht="18.899999999999999" customHeight="1" x14ac:dyDescent="0.35">
      <c r="A88" s="25"/>
      <c r="B88" s="1"/>
      <c r="C88" s="22"/>
      <c r="D88" s="1"/>
      <c r="E88" s="22"/>
      <c r="F88" s="22"/>
      <c r="G88"/>
      <c r="H88" s="22"/>
      <c r="I88" s="22"/>
      <c r="J88" s="25"/>
    </row>
    <row r="89" spans="1:10" s="61" customFormat="1" ht="18.899999999999999" customHeight="1" x14ac:dyDescent="0.35">
      <c r="A89" s="25"/>
      <c r="B89" s="1"/>
      <c r="C89" s="22"/>
      <c r="D89" s="1"/>
      <c r="E89" s="22"/>
      <c r="F89" s="22"/>
      <c r="G89"/>
      <c r="H89" s="22"/>
      <c r="I89" s="22"/>
      <c r="J89" s="25"/>
    </row>
    <row r="90" spans="1:10" s="61" customFormat="1" ht="18.899999999999999" customHeight="1" x14ac:dyDescent="0.35">
      <c r="A90" s="25"/>
      <c r="B90" s="1"/>
      <c r="C90" s="22"/>
      <c r="D90" s="1"/>
      <c r="E90" s="22"/>
      <c r="F90" s="22"/>
      <c r="G90"/>
      <c r="H90" s="22"/>
      <c r="I90" s="22"/>
      <c r="J90" s="25"/>
    </row>
    <row r="91" spans="1:10" s="61" customFormat="1" ht="18.899999999999999" customHeight="1" x14ac:dyDescent="0.35">
      <c r="A91" s="25"/>
      <c r="B91" s="1"/>
      <c r="C91" s="22"/>
      <c r="D91" s="1"/>
      <c r="E91" s="22"/>
      <c r="F91" s="22"/>
      <c r="G91"/>
      <c r="H91" s="22"/>
      <c r="I91" s="22"/>
      <c r="J91" s="25"/>
    </row>
    <row r="92" spans="1:10" s="61" customFormat="1" ht="18.899999999999999" customHeight="1" x14ac:dyDescent="0.35">
      <c r="A92" s="25"/>
      <c r="B92" s="1"/>
      <c r="C92" s="22"/>
      <c r="D92" s="1"/>
      <c r="E92" s="22"/>
      <c r="F92" s="22"/>
      <c r="G92"/>
      <c r="H92" s="22"/>
      <c r="I92" s="22"/>
      <c r="J92" s="25"/>
    </row>
    <row r="93" spans="1:10" s="61" customFormat="1" ht="18.899999999999999" customHeight="1" x14ac:dyDescent="0.35">
      <c r="A93" s="25"/>
      <c r="B93" s="1"/>
      <c r="C93" s="22"/>
      <c r="D93" s="1"/>
      <c r="E93" s="22"/>
      <c r="F93" s="22"/>
      <c r="G93"/>
      <c r="H93" s="22"/>
      <c r="I93" s="22"/>
      <c r="J93" s="25"/>
    </row>
    <row r="94" spans="1:10" s="61" customFormat="1" ht="18.899999999999999" customHeight="1" x14ac:dyDescent="0.35">
      <c r="A94" s="25"/>
      <c r="B94" s="1"/>
      <c r="C94" s="22"/>
      <c r="D94" s="1"/>
      <c r="E94" s="22"/>
      <c r="F94" s="22"/>
      <c r="G94"/>
      <c r="H94" s="22"/>
      <c r="I94" s="22"/>
      <c r="J94" s="25"/>
    </row>
    <row r="95" spans="1:10" s="61" customFormat="1" ht="18.899999999999999" customHeight="1" x14ac:dyDescent="0.35">
      <c r="A95" s="25"/>
      <c r="B95" s="1"/>
      <c r="C95" s="22"/>
      <c r="D95" s="1"/>
      <c r="E95" s="22"/>
      <c r="F95" s="22"/>
      <c r="G95"/>
      <c r="H95" s="22"/>
      <c r="I95" s="22"/>
      <c r="J95" s="25"/>
    </row>
    <row r="96" spans="1:10" s="61" customFormat="1" ht="18.899999999999999" customHeight="1" x14ac:dyDescent="0.35">
      <c r="A96" s="25"/>
      <c r="B96" s="1"/>
      <c r="C96" s="22"/>
      <c r="D96" s="1"/>
      <c r="E96" s="22"/>
      <c r="F96" s="22"/>
      <c r="G96"/>
      <c r="H96" s="22"/>
      <c r="I96" s="22"/>
      <c r="J96" s="25"/>
    </row>
    <row r="97" spans="1:10" s="61" customFormat="1" ht="18.899999999999999" customHeight="1" x14ac:dyDescent="0.35">
      <c r="A97" s="25"/>
      <c r="B97" s="1"/>
      <c r="C97" s="22"/>
      <c r="D97" s="1"/>
      <c r="E97" s="22"/>
      <c r="F97" s="22"/>
      <c r="G97"/>
      <c r="H97" s="22"/>
      <c r="I97" s="22"/>
      <c r="J97" s="25"/>
    </row>
    <row r="98" spans="1:10" s="61" customFormat="1" ht="18.899999999999999" customHeight="1" x14ac:dyDescent="0.35">
      <c r="A98" s="25"/>
      <c r="B98" s="1"/>
      <c r="C98" s="22"/>
      <c r="D98" s="1"/>
      <c r="E98" s="22"/>
      <c r="F98" s="22"/>
      <c r="G98"/>
      <c r="H98" s="22"/>
      <c r="I98" s="22"/>
      <c r="J98" s="25"/>
    </row>
    <row r="99" spans="1:10" s="61" customFormat="1" ht="18.899999999999999" customHeight="1" x14ac:dyDescent="0.35">
      <c r="A99" s="25"/>
      <c r="B99" s="1"/>
      <c r="C99" s="22"/>
      <c r="D99" s="1"/>
      <c r="E99" s="22"/>
      <c r="F99" s="22"/>
      <c r="G99"/>
      <c r="H99" s="22"/>
      <c r="I99" s="22"/>
      <c r="J99" s="25"/>
    </row>
    <row r="100" spans="1:10" s="61" customFormat="1" ht="18.899999999999999" customHeight="1" x14ac:dyDescent="0.35">
      <c r="A100" s="25"/>
      <c r="B100" s="1"/>
      <c r="C100" s="22"/>
      <c r="D100" s="1"/>
      <c r="E100" s="22"/>
      <c r="F100" s="22"/>
      <c r="G100"/>
      <c r="H100" s="22"/>
      <c r="I100" s="22"/>
      <c r="J100" s="25"/>
    </row>
    <row r="101" spans="1:10" s="61" customFormat="1" ht="18.899999999999999" customHeight="1" x14ac:dyDescent="0.35">
      <c r="A101" s="25"/>
      <c r="B101" s="1"/>
      <c r="C101" s="22"/>
      <c r="D101" s="1"/>
      <c r="E101" s="22"/>
      <c r="F101" s="22"/>
      <c r="G101"/>
      <c r="H101" s="22"/>
      <c r="I101" s="22"/>
      <c r="J101" s="25"/>
    </row>
    <row r="102" spans="1:10" s="61" customFormat="1" ht="18.899999999999999" customHeight="1" x14ac:dyDescent="0.35">
      <c r="A102" s="25"/>
      <c r="B102" s="1"/>
      <c r="C102" s="22"/>
      <c r="D102" s="1"/>
      <c r="E102" s="22"/>
      <c r="F102" s="22"/>
      <c r="G102"/>
      <c r="H102" s="22"/>
      <c r="I102" s="22"/>
      <c r="J102" s="25"/>
    </row>
    <row r="103" spans="1:10" s="61" customFormat="1" ht="18.899999999999999" customHeight="1" x14ac:dyDescent="0.35">
      <c r="A103" s="25"/>
      <c r="B103" s="1"/>
      <c r="C103" s="22"/>
      <c r="D103" s="1"/>
      <c r="E103" s="22"/>
      <c r="F103" s="22"/>
      <c r="G103"/>
      <c r="H103" s="22"/>
      <c r="I103" s="22"/>
      <c r="J103" s="25"/>
    </row>
    <row r="104" spans="1:10" s="61" customFormat="1" ht="18.899999999999999" customHeight="1" x14ac:dyDescent="0.35">
      <c r="A104" s="25"/>
      <c r="B104" s="1"/>
      <c r="C104" s="22"/>
      <c r="D104" s="1"/>
      <c r="E104" s="22"/>
      <c r="F104" s="22"/>
      <c r="G104"/>
      <c r="H104" s="22"/>
      <c r="I104" s="22"/>
      <c r="J104" s="25"/>
    </row>
    <row r="105" spans="1:10" s="61" customFormat="1" ht="18.899999999999999" customHeight="1" x14ac:dyDescent="0.35">
      <c r="A105" s="25"/>
      <c r="B105" s="1"/>
      <c r="C105" s="22"/>
      <c r="D105" s="1"/>
      <c r="E105" s="22"/>
      <c r="F105" s="22"/>
      <c r="G105"/>
      <c r="H105" s="22"/>
      <c r="I105" s="22"/>
      <c r="J105" s="25"/>
    </row>
    <row r="106" spans="1:10" s="61" customFormat="1" ht="18.899999999999999" customHeight="1" x14ac:dyDescent="0.35">
      <c r="A106" s="25"/>
      <c r="B106" s="1"/>
      <c r="C106" s="22"/>
      <c r="D106" s="1"/>
      <c r="E106" s="22"/>
      <c r="F106" s="22"/>
      <c r="G106"/>
      <c r="H106" s="22"/>
      <c r="I106" s="22"/>
      <c r="J106" s="25"/>
    </row>
    <row r="107" spans="1:10" s="61" customFormat="1" ht="18.899999999999999" customHeight="1" x14ac:dyDescent="0.35">
      <c r="A107" s="25"/>
      <c r="B107" s="1"/>
      <c r="C107" s="22"/>
      <c r="D107" s="1"/>
      <c r="E107" s="22"/>
      <c r="F107" s="22"/>
      <c r="G107"/>
      <c r="H107" s="22"/>
      <c r="I107" s="22"/>
      <c r="J107" s="25"/>
    </row>
    <row r="108" spans="1:10" s="61" customFormat="1" ht="18.899999999999999" customHeight="1" x14ac:dyDescent="0.35">
      <c r="A108" s="25"/>
      <c r="B108" s="1"/>
      <c r="C108" s="22"/>
      <c r="D108" s="1"/>
      <c r="E108" s="22"/>
      <c r="F108" s="22"/>
      <c r="G108"/>
      <c r="H108" s="22"/>
      <c r="I108" s="22"/>
      <c r="J108" s="25"/>
    </row>
    <row r="109" spans="1:10" s="61" customFormat="1" ht="18.899999999999999" customHeight="1" x14ac:dyDescent="0.35">
      <c r="A109" s="25"/>
      <c r="B109" s="1"/>
      <c r="C109" s="22"/>
      <c r="D109" s="1"/>
      <c r="E109" s="22"/>
      <c r="F109" s="22"/>
      <c r="G109"/>
      <c r="H109" s="22"/>
      <c r="I109" s="22"/>
      <c r="J109" s="25"/>
    </row>
    <row r="110" spans="1:10" s="61" customFormat="1" ht="18.899999999999999" customHeight="1" x14ac:dyDescent="0.35">
      <c r="A110" s="25"/>
      <c r="B110" s="1"/>
      <c r="C110" s="22"/>
      <c r="D110" s="1"/>
      <c r="E110" s="22"/>
      <c r="F110" s="22"/>
      <c r="G110"/>
      <c r="H110" s="22"/>
      <c r="I110" s="22"/>
      <c r="J110" s="25"/>
    </row>
    <row r="111" spans="1:10" s="61" customFormat="1" ht="18.899999999999999" customHeight="1" x14ac:dyDescent="0.35">
      <c r="A111" s="25"/>
      <c r="B111" s="1"/>
      <c r="C111" s="22"/>
      <c r="D111" s="1"/>
      <c r="E111" s="22"/>
      <c r="F111" s="22"/>
      <c r="G111"/>
      <c r="H111" s="22"/>
      <c r="I111" s="22"/>
      <c r="J111" s="25"/>
    </row>
    <row r="112" spans="1:10" s="61" customFormat="1" ht="18.899999999999999" customHeight="1" x14ac:dyDescent="0.35">
      <c r="A112" s="25"/>
      <c r="B112" s="1"/>
      <c r="C112" s="22"/>
      <c r="D112" s="1"/>
      <c r="E112" s="22"/>
      <c r="F112" s="22"/>
      <c r="G112"/>
      <c r="H112" s="22"/>
      <c r="I112" s="22"/>
      <c r="J112" s="25"/>
    </row>
    <row r="113" spans="1:10" s="61" customFormat="1" ht="18.899999999999999" customHeight="1" x14ac:dyDescent="0.35">
      <c r="A113" s="25"/>
      <c r="B113" s="1"/>
      <c r="C113" s="22"/>
      <c r="D113" s="1"/>
      <c r="E113" s="22"/>
      <c r="F113" s="22"/>
      <c r="G113"/>
      <c r="H113" s="22"/>
      <c r="I113" s="22"/>
      <c r="J113" s="25"/>
    </row>
    <row r="114" spans="1:10" s="61" customFormat="1" ht="18.899999999999999" customHeight="1" x14ac:dyDescent="0.35">
      <c r="A114" s="25"/>
      <c r="B114" s="1"/>
      <c r="C114" s="22"/>
      <c r="D114" s="1"/>
      <c r="E114" s="22"/>
      <c r="F114" s="22"/>
      <c r="G114"/>
      <c r="H114" s="22"/>
      <c r="I114" s="22"/>
      <c r="J114" s="25"/>
    </row>
    <row r="115" spans="1:10" s="61" customFormat="1" ht="18.899999999999999" customHeight="1" x14ac:dyDescent="0.35">
      <c r="A115" s="25"/>
      <c r="B115" s="1"/>
      <c r="C115" s="22"/>
      <c r="D115" s="1"/>
      <c r="E115" s="22"/>
      <c r="F115" s="22"/>
      <c r="G115"/>
      <c r="H115" s="22"/>
      <c r="I115" s="22"/>
      <c r="J115" s="25"/>
    </row>
    <row r="116" spans="1:10" s="61" customFormat="1" ht="18.899999999999999" customHeight="1" x14ac:dyDescent="0.35">
      <c r="A116" s="25"/>
      <c r="B116" s="1"/>
      <c r="C116" s="22"/>
      <c r="D116" s="1"/>
      <c r="E116" s="22"/>
      <c r="F116" s="22"/>
      <c r="G116"/>
      <c r="H116" s="22"/>
      <c r="I116" s="22"/>
      <c r="J116" s="25"/>
    </row>
    <row r="117" spans="1:10" s="61" customFormat="1" ht="18.899999999999999" customHeight="1" x14ac:dyDescent="0.35">
      <c r="A117" s="25"/>
      <c r="B117" s="1"/>
      <c r="C117" s="22"/>
      <c r="D117" s="1"/>
      <c r="E117" s="22"/>
      <c r="F117" s="22"/>
      <c r="G117"/>
      <c r="H117" s="22"/>
      <c r="I117" s="22"/>
      <c r="J117" s="25"/>
    </row>
    <row r="118" spans="1:10" s="61" customFormat="1" ht="18.899999999999999" customHeight="1" x14ac:dyDescent="0.35">
      <c r="A118" s="25"/>
      <c r="B118" s="1"/>
      <c r="C118" s="22"/>
      <c r="D118" s="1"/>
      <c r="E118" s="22"/>
      <c r="F118" s="22"/>
      <c r="G118"/>
      <c r="H118" s="22"/>
      <c r="I118" s="22"/>
      <c r="J118" s="25"/>
    </row>
    <row r="119" spans="1:10" s="61" customFormat="1" ht="18.899999999999999" customHeight="1" x14ac:dyDescent="0.35">
      <c r="A119" s="25"/>
      <c r="B119" s="1"/>
      <c r="C119" s="22"/>
      <c r="D119" s="1"/>
      <c r="E119" s="22"/>
      <c r="F119" s="22"/>
      <c r="G119"/>
      <c r="H119" s="22"/>
      <c r="I119" s="22"/>
      <c r="J119" s="25"/>
    </row>
    <row r="120" spans="1:10" s="61" customFormat="1" ht="18.899999999999999" customHeight="1" x14ac:dyDescent="0.35">
      <c r="A120" s="25"/>
      <c r="B120" s="1"/>
      <c r="C120" s="22"/>
      <c r="D120" s="1"/>
      <c r="E120" s="22"/>
      <c r="F120" s="22"/>
      <c r="G120"/>
      <c r="H120" s="22"/>
      <c r="I120" s="22"/>
      <c r="J120" s="25"/>
    </row>
    <row r="121" spans="1:10" s="61" customFormat="1" ht="18.899999999999999" customHeight="1" x14ac:dyDescent="0.35">
      <c r="A121" s="25"/>
      <c r="B121" s="1"/>
      <c r="C121" s="22"/>
      <c r="D121" s="1"/>
      <c r="E121" s="22"/>
      <c r="F121" s="22"/>
      <c r="G121"/>
      <c r="H121" s="22"/>
      <c r="I121" s="22"/>
      <c r="J121" s="25"/>
    </row>
    <row r="122" spans="1:10" s="61" customFormat="1" ht="18.899999999999999" customHeight="1" x14ac:dyDescent="0.35">
      <c r="A122" s="25"/>
      <c r="B122" s="1"/>
      <c r="C122" s="22"/>
      <c r="D122" s="1"/>
      <c r="E122" s="22"/>
      <c r="F122" s="22"/>
      <c r="G122"/>
      <c r="H122" s="22"/>
      <c r="I122" s="22"/>
      <c r="J122" s="25"/>
    </row>
    <row r="123" spans="1:10" s="61" customFormat="1" ht="18.899999999999999" customHeight="1" x14ac:dyDescent="0.35">
      <c r="A123" s="25"/>
      <c r="B123" s="1"/>
      <c r="C123" s="22"/>
      <c r="D123" s="1"/>
      <c r="E123" s="22"/>
      <c r="F123" s="22"/>
      <c r="G123"/>
      <c r="H123" s="22"/>
      <c r="I123" s="22"/>
      <c r="J123" s="25"/>
    </row>
    <row r="124" spans="1:10" s="61" customFormat="1" ht="18.899999999999999" customHeight="1" x14ac:dyDescent="0.35">
      <c r="A124" s="25"/>
      <c r="B124" s="1"/>
      <c r="C124" s="22"/>
      <c r="D124" s="1"/>
      <c r="E124" s="22"/>
      <c r="F124" s="22"/>
      <c r="G124"/>
      <c r="H124" s="22"/>
      <c r="I124" s="22"/>
      <c r="J124" s="25"/>
    </row>
    <row r="125" spans="1:10" s="61" customFormat="1" ht="18.899999999999999" customHeight="1" x14ac:dyDescent="0.35">
      <c r="A125" s="25"/>
      <c r="B125" s="1"/>
      <c r="C125" s="22"/>
      <c r="D125" s="1"/>
      <c r="E125" s="22"/>
      <c r="F125" s="22"/>
      <c r="G125"/>
      <c r="H125" s="22"/>
      <c r="I125" s="22"/>
      <c r="J125" s="25"/>
    </row>
    <row r="126" spans="1:10" s="61" customFormat="1" ht="18.899999999999999" customHeight="1" x14ac:dyDescent="0.35">
      <c r="A126" s="25"/>
      <c r="B126" s="1"/>
      <c r="C126" s="22"/>
      <c r="D126" s="1"/>
      <c r="E126" s="22"/>
      <c r="F126" s="22"/>
      <c r="G126"/>
      <c r="H126" s="22"/>
      <c r="I126" s="22"/>
      <c r="J126" s="25"/>
    </row>
    <row r="127" spans="1:10" s="61" customFormat="1" ht="18.899999999999999" customHeight="1" x14ac:dyDescent="0.35">
      <c r="A127" s="25"/>
      <c r="B127" s="1"/>
      <c r="C127" s="22"/>
      <c r="D127" s="1"/>
      <c r="E127" s="22"/>
      <c r="F127" s="22"/>
      <c r="G127"/>
      <c r="H127" s="22"/>
      <c r="I127" s="22"/>
      <c r="J127" s="25"/>
    </row>
    <row r="128" spans="1:10" s="61" customFormat="1" ht="18.899999999999999" customHeight="1" x14ac:dyDescent="0.35">
      <c r="A128" s="25"/>
      <c r="B128" s="1"/>
      <c r="C128" s="22"/>
      <c r="D128" s="1"/>
      <c r="E128" s="22"/>
      <c r="F128" s="22"/>
      <c r="G128"/>
      <c r="H128" s="22"/>
      <c r="I128" s="22"/>
      <c r="J128" s="25"/>
    </row>
    <row r="129" spans="1:10" s="61" customFormat="1" ht="18.899999999999999" customHeight="1" x14ac:dyDescent="0.35">
      <c r="A129" s="25"/>
      <c r="B129" s="1"/>
      <c r="C129" s="22"/>
      <c r="D129" s="1"/>
      <c r="E129" s="22"/>
      <c r="F129" s="22"/>
      <c r="G129"/>
      <c r="H129" s="22"/>
      <c r="I129" s="22"/>
      <c r="J129" s="25"/>
    </row>
    <row r="130" spans="1:10" s="61" customFormat="1" ht="18.899999999999999" customHeight="1" x14ac:dyDescent="0.35">
      <c r="A130" s="25"/>
      <c r="B130" s="1"/>
      <c r="C130" s="22"/>
      <c r="D130" s="1"/>
      <c r="E130" s="22"/>
      <c r="F130" s="22"/>
      <c r="G130"/>
      <c r="H130" s="22"/>
      <c r="I130" s="22"/>
      <c r="J130" s="25"/>
    </row>
    <row r="131" spans="1:10" s="61" customFormat="1" ht="18.899999999999999" customHeight="1" x14ac:dyDescent="0.35">
      <c r="A131" s="25"/>
      <c r="B131" s="1"/>
      <c r="C131" s="22"/>
      <c r="D131" s="1"/>
      <c r="E131" s="22"/>
      <c r="F131" s="22"/>
      <c r="G131"/>
      <c r="H131" s="22"/>
      <c r="I131" s="22"/>
      <c r="J131" s="25"/>
    </row>
    <row r="132" spans="1:10" s="61" customFormat="1" ht="18.899999999999999" customHeight="1" x14ac:dyDescent="0.35">
      <c r="A132" s="25"/>
      <c r="B132" s="1"/>
      <c r="C132" s="22"/>
      <c r="D132" s="1"/>
      <c r="E132" s="22"/>
      <c r="F132" s="22"/>
      <c r="G132"/>
      <c r="H132" s="22"/>
      <c r="I132" s="22"/>
      <c r="J132" s="25"/>
    </row>
    <row r="133" spans="1:10" s="61" customFormat="1" ht="18.899999999999999" customHeight="1" x14ac:dyDescent="0.35">
      <c r="A133" s="25"/>
      <c r="B133" s="1"/>
      <c r="C133" s="22"/>
      <c r="D133" s="1"/>
      <c r="E133" s="22"/>
      <c r="F133" s="22"/>
      <c r="G133"/>
      <c r="H133" s="22"/>
      <c r="I133" s="22"/>
      <c r="J133" s="25"/>
    </row>
    <row r="134" spans="1:10" s="61" customFormat="1" ht="18.899999999999999" customHeight="1" x14ac:dyDescent="0.35">
      <c r="A134" s="25"/>
      <c r="B134" s="1"/>
      <c r="C134" s="22"/>
      <c r="D134" s="1"/>
      <c r="E134" s="22"/>
      <c r="F134" s="22"/>
      <c r="G134"/>
      <c r="H134" s="22"/>
      <c r="I134" s="22"/>
      <c r="J134" s="25"/>
    </row>
    <row r="135" spans="1:10" s="61" customFormat="1" ht="18.899999999999999" customHeight="1" x14ac:dyDescent="0.35">
      <c r="A135" s="25"/>
      <c r="B135" s="1"/>
      <c r="C135" s="22"/>
      <c r="D135" s="1"/>
      <c r="E135" s="22"/>
      <c r="F135" s="22"/>
      <c r="G135"/>
      <c r="H135" s="22"/>
      <c r="I135" s="22"/>
      <c r="J135" s="25"/>
    </row>
    <row r="136" spans="1:10" s="61" customFormat="1" ht="18.899999999999999" customHeight="1" x14ac:dyDescent="0.35">
      <c r="A136" s="25"/>
      <c r="B136" s="1"/>
      <c r="C136" s="22"/>
      <c r="D136" s="1"/>
      <c r="E136" s="22"/>
      <c r="F136" s="22"/>
      <c r="G136"/>
      <c r="H136" s="22"/>
      <c r="I136" s="22"/>
      <c r="J136" s="25"/>
    </row>
    <row r="137" spans="1:10" s="61" customFormat="1" ht="18.899999999999999" customHeight="1" x14ac:dyDescent="0.35">
      <c r="A137" s="25"/>
      <c r="B137" s="1"/>
      <c r="C137" s="22"/>
      <c r="D137" s="1"/>
      <c r="E137" s="22"/>
      <c r="F137" s="22"/>
      <c r="G137"/>
      <c r="H137" s="22"/>
      <c r="I137" s="22"/>
      <c r="J137" s="25"/>
    </row>
    <row r="138" spans="1:10" s="61" customFormat="1" ht="18.899999999999999" customHeight="1" x14ac:dyDescent="0.35">
      <c r="A138" s="25"/>
      <c r="B138" s="1"/>
      <c r="C138" s="22"/>
      <c r="D138" s="1"/>
      <c r="E138" s="22"/>
      <c r="F138" s="22"/>
      <c r="G138"/>
      <c r="H138" s="22"/>
      <c r="I138" s="22"/>
      <c r="J138" s="25"/>
    </row>
    <row r="139" spans="1:10" s="61" customFormat="1" ht="18.899999999999999" customHeight="1" x14ac:dyDescent="0.35">
      <c r="A139" s="25"/>
      <c r="B139" s="1"/>
      <c r="C139" s="22"/>
      <c r="D139" s="1"/>
      <c r="E139" s="22"/>
      <c r="F139" s="22"/>
      <c r="G139"/>
      <c r="H139" s="22"/>
      <c r="I139" s="22"/>
      <c r="J139" s="25"/>
    </row>
    <row r="140" spans="1:10" s="61" customFormat="1" ht="18.899999999999999" customHeight="1" x14ac:dyDescent="0.35">
      <c r="A140" s="25"/>
      <c r="B140" s="1"/>
      <c r="C140" s="22"/>
      <c r="D140" s="1"/>
      <c r="E140" s="22"/>
      <c r="F140" s="22"/>
      <c r="G140"/>
      <c r="H140" s="22"/>
      <c r="I140" s="22"/>
      <c r="J140" s="25"/>
    </row>
    <row r="141" spans="1:10" s="61" customFormat="1" ht="18.899999999999999" customHeight="1" x14ac:dyDescent="0.35">
      <c r="A141" s="25"/>
      <c r="B141" s="1"/>
      <c r="C141" s="22"/>
      <c r="D141" s="1"/>
      <c r="E141" s="22"/>
      <c r="F141" s="22"/>
      <c r="G141"/>
      <c r="H141" s="22"/>
      <c r="I141" s="22"/>
      <c r="J141" s="25"/>
    </row>
    <row r="142" spans="1:10" s="61" customFormat="1" ht="18.899999999999999" customHeight="1" x14ac:dyDescent="0.35">
      <c r="A142" s="25"/>
      <c r="B142" s="1"/>
      <c r="C142" s="22"/>
      <c r="D142" s="1"/>
      <c r="E142" s="22"/>
      <c r="F142" s="22"/>
      <c r="G142"/>
      <c r="H142" s="22"/>
      <c r="I142" s="22"/>
      <c r="J142" s="25"/>
    </row>
    <row r="143" spans="1:10" s="61" customFormat="1" ht="18.899999999999999" customHeight="1" x14ac:dyDescent="0.35">
      <c r="A143" s="25"/>
      <c r="B143" s="1"/>
      <c r="C143" s="22"/>
      <c r="D143" s="1"/>
      <c r="E143" s="22"/>
      <c r="F143" s="22"/>
      <c r="G143"/>
      <c r="H143" s="22"/>
      <c r="I143" s="22"/>
      <c r="J143" s="25"/>
    </row>
    <row r="144" spans="1:10" s="61" customFormat="1" ht="18.899999999999999" customHeight="1" x14ac:dyDescent="0.35">
      <c r="A144" s="25"/>
      <c r="B144" s="1"/>
      <c r="C144" s="22"/>
      <c r="D144" s="1"/>
      <c r="E144" s="22"/>
      <c r="F144" s="22"/>
      <c r="G144"/>
      <c r="H144" s="22"/>
      <c r="I144" s="22"/>
      <c r="J144" s="25"/>
    </row>
    <row r="145" spans="1:10" s="61" customFormat="1" ht="18.899999999999999" customHeight="1" x14ac:dyDescent="0.35">
      <c r="A145" s="25"/>
      <c r="B145" s="1"/>
      <c r="C145" s="22"/>
      <c r="D145" s="1"/>
      <c r="E145" s="22"/>
      <c r="F145" s="22"/>
      <c r="G145"/>
      <c r="H145" s="22"/>
      <c r="I145" s="22"/>
      <c r="J145" s="25"/>
    </row>
    <row r="146" spans="1:10" s="61" customFormat="1" ht="18.899999999999999" customHeight="1" x14ac:dyDescent="0.35">
      <c r="A146" s="25"/>
      <c r="B146" s="1"/>
      <c r="C146" s="22"/>
      <c r="D146" s="1"/>
      <c r="E146" s="22"/>
      <c r="F146" s="22"/>
      <c r="G146"/>
      <c r="H146" s="22"/>
      <c r="I146" s="22"/>
      <c r="J146" s="25"/>
    </row>
    <row r="147" spans="1:10" s="61" customFormat="1" ht="18.899999999999999" customHeight="1" x14ac:dyDescent="0.35">
      <c r="A147" s="25"/>
      <c r="B147" s="1"/>
      <c r="C147" s="22"/>
      <c r="D147" s="1"/>
      <c r="E147" s="22"/>
      <c r="F147" s="22"/>
      <c r="G147"/>
      <c r="H147" s="22"/>
      <c r="I147" s="22"/>
      <c r="J147" s="25"/>
    </row>
    <row r="148" spans="1:10" s="61" customFormat="1" ht="18.899999999999999" customHeight="1" x14ac:dyDescent="0.35">
      <c r="A148" s="25"/>
      <c r="B148" s="1"/>
      <c r="C148" s="22"/>
      <c r="D148" s="1"/>
      <c r="E148" s="22"/>
      <c r="F148" s="22"/>
      <c r="G148"/>
      <c r="H148" s="22"/>
      <c r="I148" s="22"/>
      <c r="J148" s="25"/>
    </row>
    <row r="149" spans="1:10" s="61" customFormat="1" ht="18.899999999999999" customHeight="1" x14ac:dyDescent="0.35">
      <c r="A149" s="25"/>
      <c r="B149" s="1"/>
      <c r="C149" s="22"/>
      <c r="D149" s="1"/>
      <c r="E149" s="22"/>
      <c r="F149" s="22"/>
      <c r="G149"/>
      <c r="H149" s="22"/>
      <c r="I149" s="22"/>
      <c r="J149" s="25"/>
    </row>
    <row r="150" spans="1:10" s="61" customFormat="1" ht="18.899999999999999" customHeight="1" x14ac:dyDescent="0.35">
      <c r="A150" s="25"/>
      <c r="B150" s="1"/>
      <c r="C150" s="22"/>
      <c r="D150" s="1"/>
      <c r="E150" s="22"/>
      <c r="F150" s="22"/>
      <c r="G150"/>
      <c r="H150" s="22"/>
      <c r="I150" s="22"/>
      <c r="J150" s="25"/>
    </row>
    <row r="151" spans="1:10" s="61" customFormat="1" ht="18.899999999999999" customHeight="1" x14ac:dyDescent="0.35">
      <c r="A151" s="25"/>
      <c r="B151" s="1"/>
      <c r="C151" s="22"/>
      <c r="D151" s="1"/>
      <c r="E151" s="22"/>
      <c r="F151" s="22"/>
      <c r="G151"/>
      <c r="H151" s="22"/>
      <c r="I151" s="22"/>
      <c r="J151" s="25"/>
    </row>
    <row r="152" spans="1:10" s="61" customFormat="1" ht="18.899999999999999" customHeight="1" x14ac:dyDescent="0.35">
      <c r="A152" s="25"/>
      <c r="B152" s="1"/>
      <c r="C152" s="22"/>
      <c r="D152" s="1"/>
      <c r="E152" s="22"/>
      <c r="F152" s="22"/>
      <c r="G152"/>
      <c r="H152" s="22"/>
      <c r="I152" s="22"/>
      <c r="J152" s="25"/>
    </row>
    <row r="153" spans="1:10" s="61" customFormat="1" ht="18.899999999999999" customHeight="1" x14ac:dyDescent="0.35">
      <c r="A153" s="25"/>
      <c r="B153" s="1"/>
      <c r="C153" s="22"/>
      <c r="D153" s="1"/>
      <c r="E153" s="22"/>
      <c r="F153" s="22"/>
      <c r="G153"/>
      <c r="H153" s="22"/>
      <c r="I153" s="22"/>
      <c r="J153" s="25"/>
    </row>
    <row r="154" spans="1:10" s="61" customFormat="1" ht="18.899999999999999" customHeight="1" x14ac:dyDescent="0.35">
      <c r="A154" s="25"/>
      <c r="B154" s="1"/>
      <c r="C154" s="22"/>
      <c r="D154" s="1"/>
      <c r="E154" s="22"/>
      <c r="F154" s="22"/>
      <c r="G154"/>
      <c r="H154" s="22"/>
      <c r="I154" s="22"/>
      <c r="J154" s="25"/>
    </row>
    <row r="155" spans="1:10" s="61" customFormat="1" ht="18.899999999999999" customHeight="1" x14ac:dyDescent="0.35">
      <c r="A155" s="25"/>
      <c r="B155" s="1"/>
      <c r="C155" s="22"/>
      <c r="D155" s="1"/>
      <c r="E155" s="22"/>
      <c r="F155" s="22"/>
      <c r="G155"/>
      <c r="H155" s="22"/>
      <c r="I155" s="22"/>
      <c r="J155" s="25"/>
    </row>
    <row r="156" spans="1:10" s="61" customFormat="1" ht="18.899999999999999" customHeight="1" x14ac:dyDescent="0.35">
      <c r="A156" s="25"/>
      <c r="B156" s="1"/>
      <c r="C156" s="22"/>
      <c r="D156" s="1"/>
      <c r="E156" s="22"/>
      <c r="F156" s="22"/>
      <c r="G156"/>
      <c r="H156" s="22"/>
      <c r="I156" s="22"/>
      <c r="J156" s="25"/>
    </row>
    <row r="157" spans="1:10" s="61" customFormat="1" ht="18.899999999999999" customHeight="1" x14ac:dyDescent="0.35">
      <c r="A157" s="25"/>
      <c r="B157" s="1"/>
      <c r="C157" s="22"/>
      <c r="D157" s="1"/>
      <c r="E157" s="22"/>
      <c r="F157" s="22"/>
      <c r="G157"/>
      <c r="H157" s="22"/>
      <c r="I157" s="22"/>
      <c r="J157" s="25"/>
    </row>
    <row r="158" spans="1:10" s="61" customFormat="1" ht="18.899999999999999" customHeight="1" x14ac:dyDescent="0.35">
      <c r="A158" s="25"/>
      <c r="B158" s="1"/>
      <c r="C158" s="22"/>
      <c r="D158" s="1"/>
      <c r="E158" s="22"/>
      <c r="F158" s="22"/>
      <c r="G158"/>
      <c r="H158" s="22"/>
      <c r="I158" s="22"/>
      <c r="J158" s="25"/>
    </row>
    <row r="159" spans="1:10" s="61" customFormat="1" ht="18.899999999999999" customHeight="1" x14ac:dyDescent="0.35">
      <c r="A159" s="25"/>
      <c r="B159" s="1"/>
      <c r="C159" s="22"/>
      <c r="D159" s="1"/>
      <c r="E159" s="22"/>
      <c r="F159" s="22"/>
      <c r="G159"/>
      <c r="H159" s="22"/>
      <c r="I159" s="22"/>
      <c r="J159" s="25"/>
    </row>
    <row r="160" spans="1:10" s="61" customFormat="1" ht="18.899999999999999" customHeight="1" x14ac:dyDescent="0.35">
      <c r="A160" s="25"/>
      <c r="B160" s="1"/>
      <c r="C160" s="22"/>
      <c r="D160" s="1"/>
      <c r="E160" s="22"/>
      <c r="F160" s="22"/>
      <c r="G160"/>
      <c r="H160" s="22"/>
      <c r="I160" s="22"/>
      <c r="J160" s="25"/>
    </row>
    <row r="161" spans="1:10" s="61" customFormat="1" ht="18.899999999999999" customHeight="1" x14ac:dyDescent="0.35">
      <c r="A161" s="25"/>
      <c r="B161" s="1"/>
      <c r="C161" s="22"/>
      <c r="D161" s="1"/>
      <c r="E161" s="22"/>
      <c r="F161" s="22"/>
      <c r="G161"/>
      <c r="H161" s="22"/>
      <c r="I161" s="22"/>
      <c r="J161" s="25"/>
    </row>
    <row r="162" spans="1:10" s="61" customFormat="1" ht="18.899999999999999" customHeight="1" x14ac:dyDescent="0.35">
      <c r="A162" s="25"/>
      <c r="B162" s="1"/>
      <c r="C162" s="22"/>
      <c r="D162" s="1"/>
      <c r="E162" s="22"/>
      <c r="F162" s="22"/>
      <c r="G162"/>
      <c r="H162" s="22"/>
      <c r="I162" s="22"/>
      <c r="J162" s="25"/>
    </row>
    <row r="163" spans="1:10" s="61" customFormat="1" ht="18.899999999999999" customHeight="1" x14ac:dyDescent="0.35">
      <c r="A163" s="25"/>
      <c r="B163" s="1"/>
      <c r="C163" s="22"/>
      <c r="D163" s="1"/>
      <c r="E163" s="22"/>
      <c r="F163" s="22"/>
      <c r="G163"/>
      <c r="H163" s="22"/>
      <c r="I163" s="22"/>
      <c r="J163" s="25"/>
    </row>
    <row r="164" spans="1:10" s="61" customFormat="1" ht="18.899999999999999" customHeight="1" x14ac:dyDescent="0.35">
      <c r="A164" s="25"/>
      <c r="B164" s="1"/>
      <c r="C164" s="22"/>
      <c r="D164" s="1"/>
      <c r="E164" s="22"/>
      <c r="F164" s="22"/>
      <c r="G164"/>
      <c r="H164" s="22"/>
      <c r="I164" s="22"/>
      <c r="J164" s="25"/>
    </row>
    <row r="165" spans="1:10" s="61" customFormat="1" ht="18.899999999999999" customHeight="1" x14ac:dyDescent="0.35">
      <c r="A165" s="25"/>
      <c r="B165" s="1"/>
      <c r="C165" s="22"/>
      <c r="D165" s="1"/>
      <c r="E165" s="22"/>
      <c r="F165" s="22"/>
      <c r="G165"/>
      <c r="H165" s="22"/>
      <c r="I165" s="22"/>
      <c r="J165" s="25"/>
    </row>
    <row r="166" spans="1:10" s="61" customFormat="1" ht="18.899999999999999" customHeight="1" x14ac:dyDescent="0.35">
      <c r="A166" s="25"/>
      <c r="B166" s="1"/>
      <c r="C166" s="22"/>
      <c r="D166" s="1"/>
      <c r="E166" s="22"/>
      <c r="F166" s="22"/>
      <c r="G166"/>
      <c r="H166" s="22"/>
      <c r="I166" s="22"/>
      <c r="J166" s="25"/>
    </row>
    <row r="167" spans="1:10" s="61" customFormat="1" ht="18.899999999999999" customHeight="1" x14ac:dyDescent="0.35">
      <c r="A167" s="25"/>
      <c r="B167" s="1"/>
      <c r="C167" s="22"/>
      <c r="D167" s="1"/>
      <c r="E167" s="22"/>
      <c r="F167" s="22"/>
      <c r="G167"/>
      <c r="H167" s="22"/>
      <c r="I167" s="22"/>
      <c r="J167" s="25"/>
    </row>
    <row r="168" spans="1:10" s="61" customFormat="1" ht="18.899999999999999" customHeight="1" x14ac:dyDescent="0.35">
      <c r="A168" s="25"/>
      <c r="B168" s="1"/>
      <c r="C168" s="22"/>
      <c r="D168" s="1"/>
      <c r="E168" s="22"/>
      <c r="F168" s="22"/>
      <c r="G168"/>
      <c r="H168" s="22"/>
      <c r="I168" s="22"/>
      <c r="J168" s="25"/>
    </row>
    <row r="169" spans="1:10" s="61" customFormat="1" ht="18.899999999999999" customHeight="1" x14ac:dyDescent="0.35">
      <c r="A169" s="25"/>
      <c r="B169" s="1"/>
      <c r="C169" s="22"/>
      <c r="D169" s="1"/>
      <c r="E169" s="22"/>
      <c r="F169" s="22"/>
      <c r="G169"/>
      <c r="H169" s="22"/>
      <c r="I169" s="22"/>
      <c r="J169" s="25"/>
    </row>
    <row r="170" spans="1:10" s="61" customFormat="1" ht="18.899999999999999" customHeight="1" x14ac:dyDescent="0.35">
      <c r="A170" s="25"/>
      <c r="B170" s="1"/>
      <c r="C170" s="22"/>
      <c r="D170" s="1"/>
      <c r="E170" s="22"/>
      <c r="F170" s="22"/>
      <c r="G170"/>
      <c r="H170" s="22"/>
      <c r="I170" s="22"/>
      <c r="J170" s="25"/>
    </row>
    <row r="171" spans="1:10" s="61" customFormat="1" ht="18.899999999999999" customHeight="1" x14ac:dyDescent="0.35">
      <c r="A171" s="25"/>
      <c r="B171" s="1"/>
      <c r="C171" s="22"/>
      <c r="D171" s="1"/>
      <c r="E171" s="22"/>
      <c r="F171" s="22"/>
      <c r="G171"/>
      <c r="H171" s="22"/>
      <c r="I171" s="22"/>
      <c r="J171" s="25"/>
    </row>
    <row r="172" spans="1:10" s="61" customFormat="1" ht="18.899999999999999" customHeight="1" x14ac:dyDescent="0.35">
      <c r="A172" s="25"/>
      <c r="B172" s="1"/>
      <c r="C172" s="22"/>
      <c r="D172" s="1"/>
      <c r="E172" s="22"/>
      <c r="F172" s="22"/>
      <c r="G172"/>
      <c r="H172" s="22"/>
      <c r="I172" s="22"/>
      <c r="J172" s="25"/>
    </row>
    <row r="173" spans="1:10" s="61" customFormat="1" ht="18.899999999999999" customHeight="1" x14ac:dyDescent="0.35">
      <c r="A173" s="25"/>
      <c r="B173" s="1"/>
      <c r="C173" s="22"/>
      <c r="D173" s="1"/>
      <c r="E173" s="22"/>
      <c r="F173" s="22"/>
      <c r="G173"/>
      <c r="H173" s="22"/>
      <c r="I173" s="22"/>
      <c r="J173" s="25"/>
    </row>
    <row r="174" spans="1:10" s="61" customFormat="1" ht="18.899999999999999" customHeight="1" x14ac:dyDescent="0.35">
      <c r="A174" s="25"/>
      <c r="B174" s="1"/>
      <c r="C174" s="22"/>
      <c r="D174" s="1"/>
      <c r="E174" s="22"/>
      <c r="F174" s="22"/>
      <c r="G174"/>
      <c r="H174" s="22"/>
      <c r="I174" s="22"/>
      <c r="J174" s="25"/>
    </row>
    <row r="175" spans="1:10" s="61" customFormat="1" ht="18.899999999999999" customHeight="1" x14ac:dyDescent="0.35">
      <c r="A175" s="25"/>
      <c r="B175" s="1"/>
      <c r="C175" s="22"/>
      <c r="D175" s="1"/>
      <c r="E175" s="22"/>
      <c r="F175" s="22"/>
      <c r="G175"/>
      <c r="H175" s="22"/>
      <c r="I175" s="22"/>
      <c r="J175" s="25"/>
    </row>
    <row r="176" spans="1:10" s="61" customFormat="1" ht="18.899999999999999" customHeight="1" x14ac:dyDescent="0.35">
      <c r="A176" s="25"/>
      <c r="B176" s="1"/>
      <c r="C176" s="22"/>
      <c r="D176" s="1"/>
      <c r="E176" s="22"/>
      <c r="F176" s="22"/>
      <c r="G176"/>
      <c r="H176" s="22"/>
      <c r="I176" s="22"/>
      <c r="J176" s="25"/>
    </row>
    <row r="177" spans="1:10" s="61" customFormat="1" ht="18.899999999999999" customHeight="1" x14ac:dyDescent="0.35">
      <c r="A177" s="25"/>
      <c r="B177" s="1"/>
      <c r="C177" s="22"/>
      <c r="D177" s="1"/>
      <c r="E177" s="22"/>
      <c r="F177" s="22"/>
      <c r="G177"/>
      <c r="H177" s="22"/>
      <c r="I177" s="22"/>
      <c r="J177" s="25"/>
    </row>
    <row r="178" spans="1:10" s="61" customFormat="1" ht="18.899999999999999" customHeight="1" x14ac:dyDescent="0.35">
      <c r="A178" s="25"/>
      <c r="B178" s="1"/>
      <c r="C178" s="22"/>
      <c r="D178" s="1"/>
      <c r="E178" s="22"/>
      <c r="F178" s="22"/>
      <c r="G178"/>
      <c r="H178" s="22"/>
      <c r="I178" s="22"/>
      <c r="J178" s="25"/>
    </row>
    <row r="179" spans="1:10" s="61" customFormat="1" ht="18.899999999999999" customHeight="1" x14ac:dyDescent="0.35">
      <c r="A179" s="25"/>
      <c r="B179" s="1"/>
      <c r="C179" s="22"/>
      <c r="D179" s="1"/>
      <c r="E179" s="22"/>
      <c r="F179" s="22"/>
      <c r="G179"/>
      <c r="H179" s="22"/>
      <c r="I179" s="22"/>
      <c r="J179" s="25"/>
    </row>
    <row r="180" spans="1:10" s="61" customFormat="1" ht="18.899999999999999" customHeight="1" x14ac:dyDescent="0.35">
      <c r="A180" s="25"/>
      <c r="B180" s="1"/>
      <c r="C180" s="22"/>
      <c r="D180" s="1"/>
      <c r="E180" s="22"/>
      <c r="F180" s="22"/>
      <c r="G180"/>
      <c r="H180" s="22"/>
      <c r="I180" s="22"/>
      <c r="J180" s="25"/>
    </row>
    <row r="181" spans="1:10" s="61" customFormat="1" ht="18.899999999999999" customHeight="1" x14ac:dyDescent="0.35">
      <c r="A181" s="25"/>
      <c r="B181" s="1"/>
      <c r="C181" s="22"/>
      <c r="D181" s="1"/>
      <c r="E181" s="22"/>
      <c r="F181" s="22"/>
      <c r="G181"/>
      <c r="H181" s="22"/>
      <c r="I181" s="22"/>
      <c r="J181" s="25"/>
    </row>
    <row r="182" spans="1:10" s="61" customFormat="1" ht="18.899999999999999" customHeight="1" x14ac:dyDescent="0.35">
      <c r="A182" s="25"/>
      <c r="B182" s="1"/>
      <c r="C182" s="22"/>
      <c r="D182" s="1"/>
      <c r="E182" s="22"/>
      <c r="F182" s="22"/>
      <c r="G182"/>
      <c r="H182" s="22"/>
      <c r="I182" s="22"/>
      <c r="J182" s="25"/>
    </row>
    <row r="183" spans="1:10" s="61" customFormat="1" ht="18.899999999999999" customHeight="1" x14ac:dyDescent="0.35">
      <c r="A183" s="25"/>
      <c r="B183" s="1"/>
      <c r="C183" s="22"/>
      <c r="D183" s="1"/>
      <c r="E183" s="22"/>
      <c r="F183" s="22"/>
      <c r="G183"/>
      <c r="H183" s="22"/>
      <c r="I183" s="22"/>
      <c r="J183" s="25"/>
    </row>
    <row r="184" spans="1:10" s="61" customFormat="1" ht="18.899999999999999" customHeight="1" x14ac:dyDescent="0.35">
      <c r="A184" s="25"/>
      <c r="B184" s="1"/>
      <c r="C184" s="22"/>
      <c r="D184" s="1"/>
      <c r="E184" s="22"/>
      <c r="F184" s="22"/>
      <c r="G184"/>
      <c r="H184" s="22"/>
      <c r="I184" s="22"/>
      <c r="J184" s="25"/>
    </row>
    <row r="185" spans="1:10" s="61" customFormat="1" ht="18.899999999999999" customHeight="1" x14ac:dyDescent="0.35">
      <c r="A185" s="25"/>
      <c r="B185" s="1"/>
      <c r="C185" s="22"/>
      <c r="D185" s="1"/>
      <c r="E185" s="22"/>
      <c r="F185" s="22"/>
      <c r="G185"/>
      <c r="H185" s="22"/>
      <c r="I185" s="22"/>
      <c r="J185" s="25"/>
    </row>
    <row r="186" spans="1:10" s="61" customFormat="1" ht="18.899999999999999" customHeight="1" x14ac:dyDescent="0.35">
      <c r="A186" s="25"/>
      <c r="B186" s="1"/>
      <c r="C186" s="22"/>
      <c r="D186" s="1"/>
      <c r="E186" s="22"/>
      <c r="F186" s="22"/>
      <c r="G186"/>
      <c r="H186" s="22"/>
      <c r="I186" s="22"/>
      <c r="J186" s="25"/>
    </row>
    <row r="187" spans="1:10" s="61" customFormat="1" ht="18.899999999999999" customHeight="1" x14ac:dyDescent="0.35">
      <c r="A187" s="25"/>
      <c r="B187" s="1"/>
      <c r="C187" s="22"/>
      <c r="D187" s="1"/>
      <c r="E187" s="22"/>
      <c r="F187" s="22"/>
      <c r="G187"/>
      <c r="H187" s="22"/>
      <c r="I187" s="22"/>
      <c r="J187" s="25"/>
    </row>
    <row r="188" spans="1:10" s="61" customFormat="1" ht="18.899999999999999" customHeight="1" x14ac:dyDescent="0.35">
      <c r="A188" s="25"/>
      <c r="B188" s="1"/>
      <c r="C188" s="22"/>
      <c r="D188" s="1"/>
      <c r="E188" s="22"/>
      <c r="F188" s="22"/>
      <c r="G188"/>
      <c r="H188" s="22"/>
      <c r="I188" s="22"/>
      <c r="J188" s="25"/>
    </row>
    <row r="189" spans="1:10" s="61" customFormat="1" ht="18.899999999999999" customHeight="1" x14ac:dyDescent="0.35">
      <c r="A189" s="25"/>
      <c r="B189" s="1"/>
      <c r="C189" s="22"/>
      <c r="D189" s="1"/>
      <c r="E189" s="22"/>
      <c r="F189" s="22"/>
      <c r="G189"/>
      <c r="H189" s="22"/>
      <c r="I189" s="22"/>
      <c r="J189" s="25"/>
    </row>
    <row r="190" spans="1:10" s="61" customFormat="1" ht="18.899999999999999" customHeight="1" x14ac:dyDescent="0.35">
      <c r="A190" s="25"/>
      <c r="B190" s="1"/>
      <c r="C190" s="22"/>
      <c r="D190" s="1"/>
      <c r="E190" s="22"/>
      <c r="F190" s="22"/>
      <c r="G190"/>
      <c r="H190" s="22"/>
      <c r="I190" s="22"/>
      <c r="J190" s="25"/>
    </row>
    <row r="191" spans="1:10" s="61" customFormat="1" ht="18.899999999999999" customHeight="1" x14ac:dyDescent="0.35">
      <c r="A191" s="25"/>
      <c r="B191" s="1"/>
      <c r="C191" s="22"/>
      <c r="D191" s="1"/>
      <c r="E191" s="22"/>
      <c r="F191" s="22"/>
      <c r="G191"/>
      <c r="H191" s="22"/>
      <c r="I191" s="22"/>
      <c r="J191" s="25"/>
    </row>
    <row r="192" spans="1:10" s="61" customFormat="1" ht="18.899999999999999" customHeight="1" x14ac:dyDescent="0.35">
      <c r="A192" s="25"/>
      <c r="B192" s="1"/>
      <c r="C192" s="22"/>
      <c r="D192" s="1"/>
      <c r="E192" s="22"/>
      <c r="F192" s="22"/>
      <c r="G192"/>
      <c r="H192" s="22"/>
      <c r="I192" s="22"/>
      <c r="J192" s="25"/>
    </row>
    <row r="193" spans="1:10" s="61" customFormat="1" ht="18.899999999999999" customHeight="1" x14ac:dyDescent="0.35">
      <c r="A193" s="25"/>
      <c r="B193" s="1"/>
      <c r="C193" s="22"/>
      <c r="D193" s="1"/>
      <c r="E193" s="22"/>
      <c r="F193" s="22"/>
      <c r="G193"/>
      <c r="H193" s="22"/>
      <c r="I193" s="22"/>
      <c r="J193" s="25"/>
    </row>
    <row r="194" spans="1:10" s="61" customFormat="1" ht="18.899999999999999" customHeight="1" x14ac:dyDescent="0.35">
      <c r="A194" s="25"/>
      <c r="B194" s="1"/>
      <c r="C194" s="22"/>
      <c r="D194" s="1"/>
      <c r="E194" s="22"/>
      <c r="F194" s="22"/>
      <c r="G194"/>
      <c r="H194" s="22"/>
      <c r="I194" s="22"/>
      <c r="J194" s="25"/>
    </row>
    <row r="195" spans="1:10" s="61" customFormat="1" ht="18.899999999999999" customHeight="1" x14ac:dyDescent="0.35">
      <c r="A195" s="25"/>
      <c r="B195" s="1"/>
      <c r="C195" s="22"/>
      <c r="D195" s="1"/>
      <c r="E195" s="22"/>
      <c r="F195" s="22"/>
      <c r="G195"/>
      <c r="H195" s="22"/>
      <c r="I195" s="22"/>
      <c r="J195" s="25"/>
    </row>
    <row r="196" spans="1:10" s="61" customFormat="1" ht="18.899999999999999" customHeight="1" x14ac:dyDescent="0.35">
      <c r="A196" s="25"/>
      <c r="B196" s="1"/>
      <c r="C196" s="22"/>
      <c r="D196" s="1"/>
      <c r="E196" s="22"/>
      <c r="F196" s="22"/>
      <c r="G196"/>
      <c r="H196" s="22"/>
      <c r="I196" s="22"/>
      <c r="J196" s="25"/>
    </row>
    <row r="197" spans="1:10" s="61" customFormat="1" ht="18.899999999999999" customHeight="1" x14ac:dyDescent="0.35">
      <c r="A197" s="25"/>
      <c r="B197" s="1"/>
      <c r="C197" s="22"/>
      <c r="D197" s="1"/>
      <c r="E197" s="22"/>
      <c r="F197" s="22"/>
      <c r="G197"/>
      <c r="H197" s="22"/>
      <c r="I197" s="22"/>
      <c r="J197" s="25"/>
    </row>
    <row r="198" spans="1:10" s="61" customFormat="1" ht="18.899999999999999" customHeight="1" x14ac:dyDescent="0.35">
      <c r="A198" s="25"/>
      <c r="B198" s="1"/>
      <c r="C198" s="22"/>
      <c r="D198" s="1"/>
      <c r="E198" s="22"/>
      <c r="F198" s="22"/>
      <c r="G198"/>
      <c r="H198" s="22"/>
      <c r="I198" s="22"/>
      <c r="J198" s="25"/>
    </row>
    <row r="199" spans="1:10" s="61" customFormat="1" ht="18.899999999999999" customHeight="1" x14ac:dyDescent="0.35">
      <c r="A199" s="25"/>
      <c r="B199" s="1"/>
      <c r="C199" s="22"/>
      <c r="D199" s="1"/>
      <c r="E199" s="22"/>
      <c r="F199" s="22"/>
      <c r="G199"/>
      <c r="H199" s="22"/>
      <c r="I199" s="22"/>
      <c r="J199" s="25"/>
    </row>
    <row r="200" spans="1:10" s="61" customFormat="1" ht="18.899999999999999" customHeight="1" x14ac:dyDescent="0.35">
      <c r="A200" s="25"/>
      <c r="B200" s="1"/>
      <c r="C200" s="22"/>
      <c r="D200" s="1"/>
      <c r="E200" s="22"/>
      <c r="F200" s="22"/>
      <c r="G200"/>
      <c r="H200" s="22"/>
      <c r="I200" s="22"/>
      <c r="J200" s="25"/>
    </row>
    <row r="201" spans="1:10" s="61" customFormat="1" ht="18.899999999999999" customHeight="1" x14ac:dyDescent="0.35">
      <c r="A201" s="25"/>
      <c r="B201" s="1"/>
      <c r="C201" s="22"/>
      <c r="D201" s="1"/>
      <c r="E201" s="22"/>
      <c r="F201" s="22"/>
      <c r="G201"/>
      <c r="H201" s="22"/>
      <c r="I201" s="22"/>
      <c r="J201" s="25"/>
    </row>
    <row r="202" spans="1:10" s="61" customFormat="1" ht="18.899999999999999" customHeight="1" x14ac:dyDescent="0.35">
      <c r="A202" s="25"/>
      <c r="B202" s="1"/>
      <c r="C202" s="22"/>
      <c r="D202" s="1"/>
      <c r="E202" s="22"/>
      <c r="F202" s="22"/>
      <c r="G202"/>
      <c r="H202" s="22"/>
      <c r="I202" s="22"/>
      <c r="J202" s="25"/>
    </row>
    <row r="203" spans="1:10" s="61" customFormat="1" ht="18.899999999999999" customHeight="1" x14ac:dyDescent="0.35">
      <c r="A203" s="25"/>
      <c r="B203" s="1"/>
      <c r="C203" s="22"/>
      <c r="D203" s="1"/>
      <c r="E203" s="22"/>
      <c r="F203" s="22"/>
      <c r="G203"/>
      <c r="H203" s="22"/>
      <c r="I203" s="22"/>
      <c r="J203" s="25"/>
    </row>
    <row r="204" spans="1:10" s="61" customFormat="1" ht="18.899999999999999" customHeight="1" x14ac:dyDescent="0.35">
      <c r="A204" s="25"/>
      <c r="B204" s="1"/>
      <c r="C204" s="22"/>
      <c r="D204" s="1"/>
      <c r="E204" s="22"/>
      <c r="F204" s="22"/>
      <c r="G204"/>
      <c r="H204" s="22"/>
      <c r="I204" s="22"/>
      <c r="J204" s="25"/>
    </row>
    <row r="205" spans="1:10" s="61" customFormat="1" ht="18.899999999999999" customHeight="1" x14ac:dyDescent="0.35">
      <c r="A205" s="25"/>
      <c r="B205" s="1"/>
      <c r="C205" s="22"/>
      <c r="D205" s="1"/>
      <c r="E205" s="22"/>
      <c r="F205" s="22"/>
      <c r="G205"/>
      <c r="H205" s="22"/>
      <c r="I205" s="22"/>
      <c r="J205" s="25"/>
    </row>
    <row r="206" spans="1:10" s="61" customFormat="1" ht="18.899999999999999" customHeight="1" x14ac:dyDescent="0.35">
      <c r="A206" s="25"/>
      <c r="B206" s="1"/>
      <c r="C206" s="22"/>
      <c r="D206" s="1"/>
      <c r="E206" s="22"/>
      <c r="F206" s="22"/>
      <c r="G206"/>
      <c r="H206" s="22"/>
      <c r="I206" s="22"/>
      <c r="J206" s="25"/>
    </row>
    <row r="207" spans="1:10" s="61" customFormat="1" ht="18.899999999999999" customHeight="1" x14ac:dyDescent="0.35">
      <c r="A207" s="25"/>
      <c r="B207" s="1"/>
      <c r="C207" s="22"/>
      <c r="D207" s="1"/>
      <c r="E207" s="22"/>
      <c r="F207" s="22"/>
      <c r="G207"/>
      <c r="H207" s="22"/>
      <c r="I207" s="22"/>
      <c r="J207" s="25"/>
    </row>
    <row r="208" spans="1:10" s="61" customFormat="1" ht="18.899999999999999" customHeight="1" x14ac:dyDescent="0.35">
      <c r="A208" s="25"/>
      <c r="B208" s="1"/>
      <c r="C208" s="22"/>
      <c r="D208" s="1"/>
      <c r="E208" s="22"/>
      <c r="F208" s="22"/>
      <c r="G208"/>
      <c r="H208" s="22"/>
      <c r="I208" s="22"/>
      <c r="J208" s="25"/>
    </row>
    <row r="209" spans="1:10" s="61" customFormat="1" ht="18.899999999999999" customHeight="1" x14ac:dyDescent="0.35">
      <c r="A209" s="25"/>
      <c r="B209" s="1"/>
      <c r="C209" s="22"/>
      <c r="D209" s="1"/>
      <c r="E209" s="22"/>
      <c r="F209" s="22"/>
      <c r="G209"/>
      <c r="H209" s="22"/>
      <c r="I209" s="22"/>
      <c r="J209" s="25"/>
    </row>
    <row r="210" spans="1:10" s="61" customFormat="1" ht="18.899999999999999" customHeight="1" x14ac:dyDescent="0.35">
      <c r="A210" s="25"/>
      <c r="B210" s="1"/>
      <c r="C210" s="22"/>
      <c r="D210" s="1"/>
      <c r="E210" s="22"/>
      <c r="F210" s="22"/>
      <c r="G210"/>
      <c r="H210" s="22"/>
      <c r="I210" s="22"/>
      <c r="J210" s="25"/>
    </row>
    <row r="211" spans="1:10" s="61" customFormat="1" ht="18.899999999999999" customHeight="1" x14ac:dyDescent="0.35">
      <c r="A211" s="25"/>
      <c r="B211" s="1"/>
      <c r="C211" s="22"/>
      <c r="D211" s="1"/>
      <c r="E211" s="22"/>
      <c r="F211" s="22"/>
      <c r="G211"/>
      <c r="H211" s="22"/>
      <c r="I211" s="22"/>
      <c r="J211" s="25"/>
    </row>
    <row r="212" spans="1:10" s="61" customFormat="1" ht="18.899999999999999" customHeight="1" x14ac:dyDescent="0.35">
      <c r="A212" s="25"/>
      <c r="B212" s="1"/>
      <c r="C212" s="22"/>
      <c r="D212" s="1"/>
      <c r="E212" s="22"/>
      <c r="F212" s="22"/>
      <c r="G212"/>
      <c r="H212" s="22"/>
      <c r="I212" s="22"/>
      <c r="J212" s="25"/>
    </row>
    <row r="213" spans="1:10" s="61" customFormat="1" ht="18.899999999999999" customHeight="1" x14ac:dyDescent="0.35">
      <c r="A213" s="25"/>
      <c r="B213" s="1"/>
      <c r="C213" s="22"/>
      <c r="D213" s="1"/>
      <c r="E213" s="22"/>
      <c r="F213" s="22"/>
      <c r="G213"/>
      <c r="H213" s="22"/>
      <c r="I213" s="22"/>
      <c r="J213" s="25"/>
    </row>
    <row r="214" spans="1:10" s="61" customFormat="1" ht="18.899999999999999" customHeight="1" x14ac:dyDescent="0.35">
      <c r="A214" s="25"/>
      <c r="B214" s="1"/>
      <c r="C214" s="22"/>
      <c r="D214" s="1"/>
      <c r="E214" s="22"/>
      <c r="F214" s="22"/>
      <c r="G214"/>
      <c r="H214" s="22"/>
      <c r="I214" s="22"/>
      <c r="J214" s="25"/>
    </row>
    <row r="215" spans="1:10" s="61" customFormat="1" ht="18.899999999999999" customHeight="1" x14ac:dyDescent="0.35">
      <c r="A215" s="25"/>
      <c r="B215" s="1"/>
      <c r="C215" s="22"/>
      <c r="D215" s="1"/>
      <c r="E215" s="22"/>
      <c r="F215" s="22"/>
      <c r="G215"/>
      <c r="H215" s="22"/>
      <c r="I215" s="22"/>
      <c r="J215" s="25"/>
    </row>
    <row r="216" spans="1:10" s="61" customFormat="1" ht="18.899999999999999" customHeight="1" x14ac:dyDescent="0.35">
      <c r="A216" s="25"/>
      <c r="B216" s="1"/>
      <c r="C216" s="22"/>
      <c r="D216" s="1"/>
      <c r="E216" s="22"/>
      <c r="F216" s="22"/>
      <c r="G216"/>
      <c r="H216" s="22"/>
      <c r="I216" s="22"/>
      <c r="J216" s="25"/>
    </row>
    <row r="217" spans="1:10" s="61" customFormat="1" ht="18.899999999999999" customHeight="1" x14ac:dyDescent="0.35">
      <c r="A217" s="25"/>
      <c r="B217" s="1"/>
      <c r="C217" s="22"/>
      <c r="D217" s="1"/>
      <c r="E217" s="22"/>
      <c r="F217" s="22"/>
      <c r="G217"/>
      <c r="H217" s="22"/>
      <c r="I217" s="22"/>
      <c r="J217" s="25"/>
    </row>
    <row r="218" spans="1:10" s="61" customFormat="1" ht="18.899999999999999" customHeight="1" x14ac:dyDescent="0.35">
      <c r="A218" s="25"/>
      <c r="B218" s="1"/>
      <c r="C218" s="22"/>
      <c r="D218" s="1"/>
      <c r="E218" s="22"/>
      <c r="F218" s="22"/>
      <c r="G218"/>
      <c r="H218" s="22"/>
      <c r="I218" s="22"/>
      <c r="J218" s="25"/>
    </row>
    <row r="219" spans="1:10" s="61" customFormat="1" ht="18.899999999999999" customHeight="1" x14ac:dyDescent="0.35">
      <c r="A219" s="25"/>
      <c r="B219" s="1"/>
      <c r="C219" s="22"/>
      <c r="D219" s="1"/>
      <c r="E219" s="22"/>
      <c r="F219" s="22"/>
      <c r="G219"/>
      <c r="H219" s="22"/>
      <c r="I219" s="22"/>
      <c r="J219" s="25"/>
    </row>
    <row r="220" spans="1:10" s="61" customFormat="1" ht="18.899999999999999" customHeight="1" x14ac:dyDescent="0.35">
      <c r="A220" s="25"/>
      <c r="B220" s="1"/>
      <c r="C220" s="22"/>
      <c r="D220" s="1"/>
      <c r="E220" s="22"/>
      <c r="F220" s="22"/>
      <c r="G220"/>
      <c r="H220" s="22"/>
      <c r="I220" s="22"/>
      <c r="J220" s="25"/>
    </row>
    <row r="221" spans="1:10" s="61" customFormat="1" ht="18.899999999999999" customHeight="1" x14ac:dyDescent="0.35">
      <c r="A221" s="25"/>
      <c r="B221" s="1"/>
      <c r="C221" s="22"/>
      <c r="D221" s="1"/>
      <c r="E221" s="22"/>
      <c r="F221" s="22"/>
      <c r="G221"/>
      <c r="H221" s="22"/>
      <c r="I221" s="22"/>
      <c r="J221" s="25"/>
    </row>
    <row r="222" spans="1:10" s="61" customFormat="1" ht="18.899999999999999" customHeight="1" x14ac:dyDescent="0.35">
      <c r="A222" s="25"/>
      <c r="B222" s="1"/>
      <c r="C222" s="22"/>
      <c r="D222" s="1"/>
      <c r="E222" s="22"/>
      <c r="F222" s="22"/>
      <c r="G222"/>
      <c r="H222" s="22"/>
      <c r="I222" s="22"/>
      <c r="J222" s="25"/>
    </row>
    <row r="223" spans="1:10" s="61" customFormat="1" ht="18.899999999999999" customHeight="1" x14ac:dyDescent="0.35">
      <c r="A223" s="25"/>
      <c r="B223" s="1"/>
      <c r="C223" s="22"/>
      <c r="D223" s="1"/>
      <c r="E223" s="22"/>
      <c r="F223" s="22"/>
      <c r="G223"/>
      <c r="H223" s="22"/>
      <c r="I223" s="22"/>
      <c r="J223" s="25"/>
    </row>
    <row r="224" spans="1:10" s="61" customFormat="1" ht="18.899999999999999" customHeight="1" x14ac:dyDescent="0.35">
      <c r="A224" s="25"/>
      <c r="B224" s="1"/>
      <c r="C224" s="22"/>
      <c r="D224" s="1"/>
      <c r="E224" s="22"/>
      <c r="F224" s="22"/>
      <c r="G224"/>
      <c r="H224" s="22"/>
      <c r="I224" s="22"/>
      <c r="J224" s="25"/>
    </row>
    <row r="225" spans="1:10" s="61" customFormat="1" ht="18.899999999999999" customHeight="1" x14ac:dyDescent="0.35">
      <c r="A225" s="25"/>
      <c r="B225" s="1"/>
      <c r="C225" s="22"/>
      <c r="D225" s="1"/>
      <c r="E225" s="22"/>
      <c r="F225" s="22"/>
      <c r="G225"/>
      <c r="H225" s="22"/>
      <c r="I225" s="22"/>
      <c r="J225" s="25"/>
    </row>
    <row r="226" spans="1:10" s="61" customFormat="1" ht="18.899999999999999" customHeight="1" x14ac:dyDescent="0.35">
      <c r="A226" s="25"/>
      <c r="B226" s="1"/>
      <c r="C226" s="22"/>
      <c r="D226" s="1"/>
      <c r="E226" s="22"/>
      <c r="F226" s="22"/>
      <c r="G226"/>
      <c r="H226" s="22"/>
      <c r="I226" s="22"/>
      <c r="J226" s="25"/>
    </row>
    <row r="227" spans="1:10" s="61" customFormat="1" ht="18.899999999999999" customHeight="1" x14ac:dyDescent="0.35">
      <c r="A227" s="25"/>
      <c r="B227" s="1"/>
      <c r="C227" s="22"/>
      <c r="D227" s="1"/>
      <c r="E227" s="22"/>
      <c r="F227" s="22"/>
      <c r="G227"/>
      <c r="H227" s="22"/>
      <c r="I227" s="22"/>
      <c r="J227" s="25"/>
    </row>
    <row r="228" spans="1:10" s="61" customFormat="1" ht="18.899999999999999" customHeight="1" x14ac:dyDescent="0.35">
      <c r="A228" s="25"/>
      <c r="B228" s="1"/>
      <c r="C228" s="22"/>
      <c r="D228" s="1"/>
      <c r="E228" s="22"/>
      <c r="F228" s="22"/>
      <c r="G228"/>
      <c r="H228" s="22"/>
      <c r="I228" s="22"/>
      <c r="J228" s="25"/>
    </row>
    <row r="229" spans="1:10" s="61" customFormat="1" ht="18.899999999999999" customHeight="1" x14ac:dyDescent="0.35">
      <c r="A229" s="25"/>
      <c r="B229" s="1"/>
      <c r="C229" s="22"/>
      <c r="D229" s="1"/>
      <c r="E229" s="22"/>
      <c r="F229" s="22"/>
      <c r="G229"/>
      <c r="H229" s="22"/>
      <c r="I229" s="22"/>
      <c r="J229" s="25"/>
    </row>
    <row r="230" spans="1:10" s="61" customFormat="1" ht="18.899999999999999" customHeight="1" x14ac:dyDescent="0.35">
      <c r="A230" s="25"/>
      <c r="B230" s="1"/>
      <c r="C230" s="22"/>
      <c r="D230" s="1"/>
      <c r="E230" s="22"/>
      <c r="F230" s="22"/>
      <c r="G230"/>
      <c r="H230" s="22"/>
      <c r="I230" s="22"/>
      <c r="J230" s="25"/>
    </row>
    <row r="231" spans="1:10" s="61" customFormat="1" ht="18.899999999999999" customHeight="1" x14ac:dyDescent="0.35">
      <c r="A231" s="25"/>
      <c r="B231" s="1"/>
      <c r="C231" s="22"/>
      <c r="D231" s="1"/>
      <c r="E231" s="22"/>
      <c r="F231" s="22"/>
      <c r="G231"/>
      <c r="H231" s="22"/>
      <c r="I231" s="22"/>
      <c r="J231" s="25"/>
    </row>
    <row r="232" spans="1:10" s="61" customFormat="1" ht="18.899999999999999" customHeight="1" x14ac:dyDescent="0.35">
      <c r="A232" s="25"/>
      <c r="B232" s="1"/>
      <c r="C232" s="22"/>
      <c r="D232" s="1"/>
      <c r="E232" s="22"/>
      <c r="F232" s="22"/>
      <c r="G232"/>
      <c r="H232" s="22"/>
      <c r="I232" s="22"/>
      <c r="J232" s="25"/>
    </row>
    <row r="233" spans="1:10" s="61" customFormat="1" ht="18.899999999999999" customHeight="1" x14ac:dyDescent="0.35">
      <c r="A233" s="25"/>
      <c r="B233" s="1"/>
      <c r="C233" s="22"/>
      <c r="D233" s="1"/>
      <c r="E233" s="22"/>
      <c r="F233" s="22"/>
      <c r="G233"/>
      <c r="H233" s="22"/>
      <c r="I233" s="22"/>
      <c r="J233" s="25"/>
    </row>
    <row r="234" spans="1:10" s="61" customFormat="1" ht="18.899999999999999" customHeight="1" x14ac:dyDescent="0.35">
      <c r="A234" s="25"/>
      <c r="B234" s="1"/>
      <c r="C234" s="22"/>
      <c r="D234" s="1"/>
      <c r="E234" s="22"/>
      <c r="F234" s="22"/>
      <c r="G234"/>
      <c r="H234" s="22"/>
      <c r="I234" s="22"/>
      <c r="J234" s="25"/>
    </row>
    <row r="235" spans="1:10" s="61" customFormat="1" ht="18.899999999999999" customHeight="1" x14ac:dyDescent="0.35">
      <c r="A235" s="25"/>
      <c r="B235" s="1"/>
      <c r="C235" s="22"/>
      <c r="D235" s="1"/>
      <c r="E235" s="22"/>
      <c r="F235" s="22"/>
      <c r="G235"/>
      <c r="H235" s="22"/>
      <c r="I235" s="22"/>
      <c r="J235" s="25"/>
    </row>
    <row r="236" spans="1:10" s="61" customFormat="1" ht="18.899999999999999" customHeight="1" x14ac:dyDescent="0.35">
      <c r="A236" s="25"/>
      <c r="B236" s="1"/>
      <c r="C236" s="22"/>
      <c r="D236" s="1"/>
      <c r="E236" s="22"/>
      <c r="F236" s="22"/>
      <c r="G236"/>
      <c r="H236" s="22"/>
      <c r="I236" s="22"/>
      <c r="J236" s="25"/>
    </row>
    <row r="237" spans="1:10" s="61" customFormat="1" ht="18.899999999999999" customHeight="1" x14ac:dyDescent="0.35">
      <c r="A237" s="25"/>
      <c r="B237" s="1"/>
      <c r="C237" s="22"/>
      <c r="D237" s="1"/>
      <c r="E237" s="22"/>
      <c r="F237" s="22"/>
      <c r="G237"/>
      <c r="H237" s="22"/>
      <c r="I237" s="22"/>
      <c r="J237" s="25"/>
    </row>
    <row r="238" spans="1:10" s="61" customFormat="1" ht="18.899999999999999" customHeight="1" x14ac:dyDescent="0.35">
      <c r="A238" s="25"/>
      <c r="B238" s="1"/>
      <c r="C238" s="22"/>
      <c r="D238" s="1"/>
      <c r="E238" s="22"/>
      <c r="F238" s="22"/>
      <c r="G238"/>
      <c r="H238" s="22"/>
      <c r="I238" s="22"/>
      <c r="J238" s="25"/>
    </row>
    <row r="239" spans="1:10" s="61" customFormat="1" ht="18.899999999999999" customHeight="1" x14ac:dyDescent="0.35">
      <c r="A239" s="25"/>
      <c r="B239" s="1"/>
      <c r="C239" s="22"/>
      <c r="D239" s="1"/>
      <c r="E239" s="22"/>
      <c r="F239" s="22"/>
      <c r="G239"/>
      <c r="H239" s="22"/>
      <c r="I239" s="22"/>
      <c r="J239" s="25"/>
    </row>
    <row r="240" spans="1:10" s="61" customFormat="1" ht="18.899999999999999" customHeight="1" x14ac:dyDescent="0.35">
      <c r="A240" s="25"/>
      <c r="B240" s="1"/>
      <c r="C240" s="22"/>
      <c r="D240" s="1"/>
      <c r="E240" s="22"/>
      <c r="F240" s="22"/>
      <c r="G240"/>
      <c r="H240" s="22"/>
      <c r="I240" s="22"/>
      <c r="J240" s="25"/>
    </row>
    <row r="241" spans="1:10" s="61" customFormat="1" ht="18.899999999999999" customHeight="1" x14ac:dyDescent="0.35">
      <c r="A241" s="25"/>
      <c r="B241" s="1"/>
      <c r="C241" s="22"/>
      <c r="D241" s="1"/>
      <c r="E241" s="22"/>
      <c r="F241" s="22"/>
      <c r="G241"/>
      <c r="H241" s="22"/>
      <c r="I241" s="22"/>
      <c r="J241" s="25"/>
    </row>
    <row r="242" spans="1:10" s="61" customFormat="1" ht="18.899999999999999" customHeight="1" x14ac:dyDescent="0.35">
      <c r="A242" s="25"/>
      <c r="B242" s="1"/>
      <c r="C242" s="22"/>
      <c r="D242" s="1"/>
      <c r="E242" s="22"/>
      <c r="F242" s="22"/>
      <c r="G242"/>
      <c r="H242" s="22"/>
      <c r="I242" s="22"/>
      <c r="J242" s="25"/>
    </row>
    <row r="243" spans="1:10" s="61" customFormat="1" ht="18.899999999999999" customHeight="1" x14ac:dyDescent="0.35">
      <c r="A243" s="25"/>
      <c r="B243" s="1"/>
      <c r="C243" s="22"/>
      <c r="D243" s="1"/>
      <c r="E243" s="22"/>
      <c r="F243" s="22"/>
      <c r="G243"/>
      <c r="H243" s="22"/>
      <c r="I243" s="22"/>
      <c r="J243" s="25"/>
    </row>
    <row r="244" spans="1:10" s="61" customFormat="1" ht="18.899999999999999" customHeight="1" x14ac:dyDescent="0.35">
      <c r="A244" s="25"/>
      <c r="B244" s="1"/>
      <c r="C244" s="22"/>
      <c r="D244" s="1"/>
      <c r="E244" s="22"/>
      <c r="F244" s="22"/>
      <c r="G244"/>
      <c r="H244" s="22"/>
      <c r="I244" s="22"/>
      <c r="J244" s="25"/>
    </row>
    <row r="245" spans="1:10" s="61" customFormat="1" ht="18.899999999999999" customHeight="1" x14ac:dyDescent="0.35">
      <c r="A245" s="25"/>
      <c r="B245" s="1"/>
      <c r="C245" s="22"/>
      <c r="D245" s="1"/>
      <c r="E245" s="22"/>
      <c r="F245" s="22"/>
      <c r="G245"/>
      <c r="H245" s="22"/>
      <c r="I245" s="22"/>
      <c r="J245" s="25"/>
    </row>
    <row r="246" spans="1:10" s="61" customFormat="1" ht="18.899999999999999" customHeight="1" x14ac:dyDescent="0.35">
      <c r="A246" s="25"/>
      <c r="B246" s="1"/>
      <c r="C246" s="22"/>
      <c r="D246" s="1"/>
      <c r="E246" s="22"/>
      <c r="F246" s="22"/>
      <c r="G246"/>
      <c r="H246" s="22"/>
      <c r="I246" s="22"/>
      <c r="J246" s="25"/>
    </row>
    <row r="247" spans="1:10" s="61" customFormat="1" ht="18.899999999999999" customHeight="1" x14ac:dyDescent="0.35">
      <c r="A247" s="25"/>
      <c r="B247" s="1"/>
      <c r="C247" s="22"/>
      <c r="D247" s="1"/>
      <c r="E247" s="22"/>
      <c r="F247" s="22"/>
      <c r="G247"/>
      <c r="H247" s="22"/>
      <c r="I247" s="22"/>
      <c r="J247" s="25"/>
    </row>
    <row r="248" spans="1:10" s="61" customFormat="1" ht="18.899999999999999" customHeight="1" x14ac:dyDescent="0.35">
      <c r="A248" s="25"/>
      <c r="B248" s="1"/>
      <c r="C248" s="22"/>
      <c r="D248" s="1"/>
      <c r="E248" s="22"/>
      <c r="F248" s="22"/>
      <c r="G248"/>
      <c r="H248" s="22"/>
      <c r="I248" s="22"/>
      <c r="J248" s="25"/>
    </row>
    <row r="249" spans="1:10" s="61" customFormat="1" ht="18.899999999999999" customHeight="1" x14ac:dyDescent="0.35">
      <c r="A249" s="25"/>
      <c r="B249" s="1"/>
      <c r="C249" s="22"/>
      <c r="D249" s="1"/>
      <c r="E249" s="22"/>
      <c r="F249" s="22"/>
      <c r="G249"/>
      <c r="H249" s="22"/>
      <c r="I249" s="22"/>
      <c r="J249" s="25"/>
    </row>
    <row r="250" spans="1:10" s="61" customFormat="1" ht="18.899999999999999" customHeight="1" x14ac:dyDescent="0.35">
      <c r="A250" s="25"/>
      <c r="B250" s="1"/>
      <c r="C250" s="22"/>
      <c r="D250" s="1"/>
      <c r="E250" s="22"/>
      <c r="F250" s="22"/>
      <c r="G250"/>
      <c r="H250" s="22"/>
      <c r="I250" s="22"/>
      <c r="J250" s="25"/>
    </row>
    <row r="251" spans="1:10" s="61" customFormat="1" ht="18.899999999999999" customHeight="1" x14ac:dyDescent="0.35">
      <c r="A251" s="25"/>
      <c r="B251" s="1"/>
      <c r="C251" s="22"/>
      <c r="D251" s="1"/>
      <c r="E251" s="22"/>
      <c r="F251" s="22"/>
      <c r="G251"/>
      <c r="H251" s="22"/>
      <c r="I251" s="22"/>
      <c r="J251" s="25"/>
    </row>
    <row r="252" spans="1:10" s="61" customFormat="1" ht="18.899999999999999" customHeight="1" x14ac:dyDescent="0.35">
      <c r="A252" s="25"/>
      <c r="B252" s="1"/>
      <c r="C252" s="22"/>
      <c r="D252" s="1"/>
      <c r="E252" s="22"/>
      <c r="F252" s="22"/>
      <c r="G252"/>
      <c r="H252" s="22"/>
      <c r="I252" s="22"/>
      <c r="J252" s="25"/>
    </row>
    <row r="253" spans="1:10" s="61" customFormat="1" ht="18.899999999999999" customHeight="1" x14ac:dyDescent="0.35">
      <c r="A253" s="25"/>
      <c r="B253" s="1"/>
      <c r="C253" s="22"/>
      <c r="D253" s="1"/>
      <c r="E253" s="22"/>
      <c r="F253" s="22"/>
      <c r="G253"/>
      <c r="H253" s="22"/>
      <c r="I253" s="22"/>
      <c r="J253" s="25"/>
    </row>
    <row r="254" spans="1:10" s="61" customFormat="1" ht="18.899999999999999" customHeight="1" x14ac:dyDescent="0.35">
      <c r="A254" s="25"/>
      <c r="B254" s="1"/>
      <c r="C254" s="22"/>
      <c r="D254" s="1"/>
      <c r="E254" s="22"/>
      <c r="F254" s="22"/>
      <c r="G254"/>
      <c r="H254" s="22"/>
      <c r="I254" s="22"/>
      <c r="J254" s="25"/>
    </row>
    <row r="255" spans="1:10" s="61" customFormat="1" ht="18.899999999999999" customHeight="1" x14ac:dyDescent="0.35">
      <c r="A255" s="25"/>
      <c r="B255" s="1"/>
      <c r="C255" s="22"/>
      <c r="D255" s="1"/>
      <c r="E255" s="22"/>
      <c r="F255" s="22"/>
      <c r="G255"/>
      <c r="H255" s="22"/>
      <c r="I255" s="22"/>
      <c r="J255" s="25"/>
    </row>
    <row r="256" spans="1:10" s="61" customFormat="1" ht="18.899999999999999" customHeight="1" x14ac:dyDescent="0.35">
      <c r="A256" s="25"/>
      <c r="B256" s="1"/>
      <c r="C256" s="22"/>
      <c r="D256" s="1"/>
      <c r="E256" s="22"/>
      <c r="F256" s="22"/>
      <c r="G256"/>
      <c r="H256" s="22"/>
      <c r="I256" s="22"/>
      <c r="J256" s="25"/>
    </row>
    <row r="257" spans="1:10" s="61" customFormat="1" ht="18.899999999999999" customHeight="1" x14ac:dyDescent="0.35">
      <c r="A257" s="25"/>
      <c r="B257" s="1"/>
      <c r="C257" s="22"/>
      <c r="D257" s="1"/>
      <c r="E257" s="22"/>
      <c r="F257" s="22"/>
      <c r="G257"/>
      <c r="H257" s="22"/>
      <c r="I257" s="22"/>
      <c r="J257" s="25"/>
    </row>
    <row r="258" spans="1:10" s="61" customFormat="1" ht="18.899999999999999" customHeight="1" x14ac:dyDescent="0.35">
      <c r="A258" s="25"/>
      <c r="B258" s="1"/>
      <c r="C258" s="22"/>
      <c r="D258" s="1"/>
      <c r="E258" s="22"/>
      <c r="F258" s="22"/>
      <c r="G258"/>
      <c r="H258" s="22"/>
      <c r="I258" s="22"/>
      <c r="J258" s="25"/>
    </row>
    <row r="259" spans="1:10" s="61" customFormat="1" ht="18.899999999999999" customHeight="1" x14ac:dyDescent="0.35">
      <c r="A259" s="25"/>
      <c r="B259" s="1"/>
      <c r="C259" s="22"/>
      <c r="D259" s="1"/>
      <c r="E259" s="22"/>
      <c r="F259" s="22"/>
      <c r="G259"/>
      <c r="H259" s="22"/>
      <c r="I259" s="22"/>
      <c r="J259" s="25"/>
    </row>
    <row r="260" spans="1:10" s="61" customFormat="1" ht="18.899999999999999" customHeight="1" x14ac:dyDescent="0.35">
      <c r="A260" s="25"/>
      <c r="B260" s="1"/>
      <c r="C260" s="22"/>
      <c r="D260" s="1"/>
      <c r="E260" s="22"/>
      <c r="F260" s="22"/>
      <c r="G260"/>
      <c r="H260" s="22"/>
      <c r="I260" s="22"/>
      <c r="J260" s="25"/>
    </row>
    <row r="261" spans="1:10" s="61" customFormat="1" ht="18.899999999999999" customHeight="1" x14ac:dyDescent="0.35">
      <c r="A261" s="25"/>
      <c r="B261" s="1"/>
      <c r="C261" s="22"/>
      <c r="D261" s="1"/>
      <c r="E261" s="22"/>
      <c r="F261" s="22"/>
      <c r="G261"/>
      <c r="H261" s="22"/>
      <c r="I261" s="22"/>
      <c r="J261" s="25"/>
    </row>
    <row r="262" spans="1:10" s="61" customFormat="1" ht="18.899999999999999" customHeight="1" x14ac:dyDescent="0.35">
      <c r="A262" s="25"/>
      <c r="B262" s="1"/>
      <c r="C262" s="22"/>
      <c r="D262" s="1"/>
      <c r="E262" s="22"/>
      <c r="F262" s="22"/>
      <c r="G262"/>
      <c r="H262" s="22"/>
      <c r="I262" s="22"/>
      <c r="J262" s="25"/>
    </row>
    <row r="263" spans="1:10" s="61" customFormat="1" ht="18.899999999999999" customHeight="1" x14ac:dyDescent="0.35">
      <c r="A263" s="25"/>
      <c r="B263" s="1"/>
      <c r="C263" s="22"/>
      <c r="D263" s="1"/>
      <c r="E263" s="22"/>
      <c r="F263" s="22"/>
      <c r="G263"/>
      <c r="H263" s="22"/>
      <c r="I263" s="22"/>
      <c r="J263" s="25"/>
    </row>
    <row r="264" spans="1:10" s="61" customFormat="1" ht="18.899999999999999" customHeight="1" x14ac:dyDescent="0.35">
      <c r="A264" s="25"/>
      <c r="B264" s="1"/>
      <c r="C264" s="22"/>
      <c r="D264" s="1"/>
      <c r="E264" s="22"/>
      <c r="F264" s="22"/>
      <c r="G264"/>
      <c r="H264" s="22"/>
      <c r="I264" s="22"/>
      <c r="J264" s="25"/>
    </row>
    <row r="265" spans="1:10" s="61" customFormat="1" ht="18.899999999999999" customHeight="1" x14ac:dyDescent="0.35">
      <c r="A265" s="25"/>
      <c r="B265" s="1"/>
      <c r="C265" s="22"/>
      <c r="D265" s="1"/>
      <c r="E265" s="22"/>
      <c r="F265" s="22"/>
      <c r="G265"/>
      <c r="H265" s="22"/>
      <c r="I265" s="22"/>
      <c r="J265" s="25"/>
    </row>
    <row r="266" spans="1:10" s="61" customFormat="1" ht="18.899999999999999" customHeight="1" x14ac:dyDescent="0.35">
      <c r="A266" s="25"/>
      <c r="B266" s="1"/>
      <c r="C266" s="22"/>
      <c r="D266" s="1"/>
      <c r="E266" s="22"/>
      <c r="F266" s="22"/>
      <c r="G266"/>
      <c r="H266" s="22"/>
      <c r="I266" s="22"/>
      <c r="J266" s="25"/>
    </row>
    <row r="267" spans="1:10" s="61" customFormat="1" ht="18.899999999999999" customHeight="1" x14ac:dyDescent="0.35">
      <c r="A267" s="25"/>
      <c r="B267" s="1"/>
      <c r="C267" s="22"/>
      <c r="D267" s="1"/>
      <c r="E267" s="22"/>
      <c r="F267" s="22"/>
      <c r="G267"/>
      <c r="H267" s="22"/>
      <c r="I267" s="22"/>
      <c r="J267" s="25"/>
    </row>
    <row r="268" spans="1:10" s="61" customFormat="1" ht="18.899999999999999" customHeight="1" x14ac:dyDescent="0.35">
      <c r="A268" s="25"/>
      <c r="B268" s="1"/>
      <c r="C268" s="22"/>
      <c r="D268" s="1"/>
      <c r="E268" s="22"/>
      <c r="F268" s="22"/>
      <c r="G268"/>
      <c r="H268" s="22"/>
      <c r="I268" s="22"/>
      <c r="J268" s="25"/>
    </row>
    <row r="269" spans="1:10" s="61" customFormat="1" ht="18.899999999999999" customHeight="1" x14ac:dyDescent="0.35">
      <c r="A269" s="25"/>
      <c r="B269" s="1"/>
      <c r="C269" s="22"/>
      <c r="D269" s="1"/>
      <c r="E269" s="22"/>
      <c r="F269" s="22"/>
      <c r="G269"/>
      <c r="H269" s="22"/>
      <c r="I269" s="22"/>
      <c r="J269" s="25"/>
    </row>
    <row r="270" spans="1:10" s="61" customFormat="1" ht="18.899999999999999" customHeight="1" x14ac:dyDescent="0.35">
      <c r="A270" s="25"/>
      <c r="B270" s="1"/>
      <c r="C270" s="22"/>
      <c r="D270" s="1"/>
      <c r="E270" s="22"/>
      <c r="F270" s="22"/>
      <c r="G270"/>
      <c r="H270" s="22"/>
      <c r="I270" s="22"/>
      <c r="J270" s="25"/>
    </row>
    <row r="271" spans="1:10" s="61" customFormat="1" ht="18.899999999999999" customHeight="1" x14ac:dyDescent="0.35">
      <c r="A271" s="25"/>
      <c r="B271" s="1"/>
      <c r="C271" s="22"/>
      <c r="D271" s="1"/>
      <c r="E271" s="22"/>
      <c r="F271" s="22"/>
      <c r="G271"/>
      <c r="H271" s="22"/>
      <c r="I271" s="22"/>
      <c r="J271" s="25"/>
    </row>
    <row r="272" spans="1:10" s="61" customFormat="1" ht="18.899999999999999" customHeight="1" x14ac:dyDescent="0.35">
      <c r="A272" s="25"/>
      <c r="B272" s="1"/>
      <c r="C272" s="22"/>
      <c r="D272" s="1"/>
      <c r="E272" s="22"/>
      <c r="F272" s="22"/>
      <c r="G272"/>
      <c r="H272" s="22"/>
      <c r="I272" s="22"/>
      <c r="J272" s="25"/>
    </row>
    <row r="273" spans="1:10" s="61" customFormat="1" ht="18.899999999999999" customHeight="1" x14ac:dyDescent="0.35">
      <c r="A273" s="25"/>
      <c r="B273" s="1"/>
      <c r="C273" s="22"/>
      <c r="D273" s="1"/>
      <c r="E273" s="22"/>
      <c r="F273" s="22"/>
      <c r="G273"/>
      <c r="H273" s="22"/>
      <c r="I273" s="22"/>
      <c r="J273" s="25"/>
    </row>
    <row r="274" spans="1:10" s="61" customFormat="1" ht="18.899999999999999" customHeight="1" x14ac:dyDescent="0.35">
      <c r="A274" s="25"/>
      <c r="B274" s="1"/>
      <c r="C274" s="22"/>
      <c r="D274" s="1"/>
      <c r="E274" s="22"/>
      <c r="F274" s="22"/>
      <c r="G274"/>
      <c r="H274" s="22"/>
      <c r="I274" s="22"/>
      <c r="J274" s="25"/>
    </row>
    <row r="275" spans="1:10" s="61" customFormat="1" ht="18.899999999999999" customHeight="1" x14ac:dyDescent="0.35">
      <c r="A275" s="25"/>
      <c r="B275" s="1"/>
      <c r="C275" s="22"/>
      <c r="D275" s="1"/>
      <c r="E275" s="22"/>
      <c r="F275" s="22"/>
      <c r="G275"/>
      <c r="H275" s="22"/>
      <c r="I275" s="22"/>
      <c r="J275" s="25"/>
    </row>
    <row r="276" spans="1:10" s="61" customFormat="1" ht="18.899999999999999" customHeight="1" x14ac:dyDescent="0.35">
      <c r="A276" s="25"/>
      <c r="B276" s="1"/>
      <c r="C276" s="22"/>
      <c r="D276" s="1"/>
      <c r="E276" s="22"/>
      <c r="F276" s="22"/>
      <c r="G276"/>
      <c r="H276" s="22"/>
      <c r="I276" s="22"/>
      <c r="J276" s="25"/>
    </row>
    <row r="277" spans="1:10" s="61" customFormat="1" ht="18.899999999999999" customHeight="1" x14ac:dyDescent="0.35">
      <c r="A277" s="25"/>
      <c r="B277" s="1"/>
      <c r="C277" s="22"/>
      <c r="D277" s="1"/>
      <c r="E277" s="22"/>
      <c r="F277" s="22"/>
      <c r="G277"/>
      <c r="H277" s="22"/>
      <c r="I277" s="22"/>
      <c r="J277" s="25"/>
    </row>
    <row r="278" spans="1:10" s="61" customFormat="1" ht="18.899999999999999" customHeight="1" x14ac:dyDescent="0.35">
      <c r="A278" s="25"/>
      <c r="B278" s="1"/>
      <c r="C278" s="22"/>
      <c r="D278" s="1"/>
      <c r="E278" s="22"/>
      <c r="F278" s="22"/>
      <c r="G278"/>
      <c r="H278" s="22"/>
      <c r="I278" s="22"/>
      <c r="J278" s="25"/>
    </row>
    <row r="279" spans="1:10" s="61" customFormat="1" ht="18.899999999999999" customHeight="1" x14ac:dyDescent="0.35">
      <c r="A279" s="25"/>
      <c r="B279" s="1"/>
      <c r="C279" s="22"/>
      <c r="D279" s="1"/>
      <c r="E279" s="22"/>
      <c r="F279" s="22"/>
      <c r="G279"/>
      <c r="H279" s="22"/>
      <c r="I279" s="22"/>
      <c r="J279" s="25"/>
    </row>
    <row r="280" spans="1:10" s="61" customFormat="1" ht="18.899999999999999" customHeight="1" x14ac:dyDescent="0.35">
      <c r="A280" s="25"/>
      <c r="B280" s="1"/>
      <c r="C280" s="22"/>
      <c r="D280" s="1"/>
      <c r="E280" s="22"/>
      <c r="F280" s="22"/>
      <c r="G280"/>
      <c r="H280" s="22"/>
      <c r="I280" s="22"/>
      <c r="J280" s="25"/>
    </row>
    <row r="281" spans="1:10" s="61" customFormat="1" ht="18.899999999999999" customHeight="1" x14ac:dyDescent="0.35">
      <c r="A281" s="25"/>
      <c r="B281" s="1"/>
      <c r="C281" s="22"/>
      <c r="D281" s="1"/>
      <c r="E281" s="22"/>
      <c r="F281" s="22"/>
      <c r="G281"/>
      <c r="H281" s="22"/>
      <c r="I281" s="22"/>
      <c r="J281" s="25"/>
    </row>
    <row r="282" spans="1:10" s="61" customFormat="1" ht="18.899999999999999" customHeight="1" x14ac:dyDescent="0.35">
      <c r="A282" s="25"/>
      <c r="B282" s="1"/>
      <c r="C282" s="22"/>
      <c r="D282" s="1"/>
      <c r="E282" s="22"/>
      <c r="F282" s="22"/>
      <c r="G282"/>
      <c r="H282" s="22"/>
      <c r="I282" s="22"/>
      <c r="J282" s="25"/>
    </row>
    <row r="283" spans="1:10" s="61" customFormat="1" ht="18.899999999999999" customHeight="1" x14ac:dyDescent="0.35">
      <c r="A283" s="25"/>
      <c r="B283" s="1"/>
      <c r="C283" s="22"/>
      <c r="D283" s="1"/>
      <c r="E283" s="22"/>
      <c r="F283" s="22"/>
      <c r="G283"/>
      <c r="H283" s="22"/>
      <c r="I283" s="22"/>
      <c r="J283" s="25"/>
    </row>
    <row r="284" spans="1:10" s="61" customFormat="1" ht="18.899999999999999" customHeight="1" x14ac:dyDescent="0.35">
      <c r="A284" s="25"/>
      <c r="B284" s="1"/>
      <c r="C284" s="22"/>
      <c r="D284" s="1"/>
      <c r="E284" s="22"/>
      <c r="F284" s="22"/>
      <c r="G284"/>
      <c r="H284" s="22"/>
      <c r="I284" s="22"/>
      <c r="J284" s="25"/>
    </row>
    <row r="285" spans="1:10" s="61" customFormat="1" ht="18.899999999999999" customHeight="1" x14ac:dyDescent="0.35">
      <c r="A285" s="25"/>
      <c r="B285" s="1"/>
      <c r="C285" s="22"/>
      <c r="D285" s="1"/>
      <c r="E285" s="22"/>
      <c r="F285" s="22"/>
      <c r="G285"/>
      <c r="H285" s="22"/>
      <c r="I285" s="22"/>
      <c r="J285" s="25"/>
    </row>
    <row r="286" spans="1:10" s="61" customFormat="1" ht="18.899999999999999" customHeight="1" x14ac:dyDescent="0.35">
      <c r="A286" s="25"/>
      <c r="B286" s="1"/>
      <c r="C286" s="22"/>
      <c r="D286" s="1"/>
      <c r="E286" s="22"/>
      <c r="F286" s="22"/>
      <c r="G286"/>
      <c r="H286" s="22"/>
      <c r="I286" s="22"/>
      <c r="J286" s="25"/>
    </row>
    <row r="287" spans="1:10" s="61" customFormat="1" ht="18.899999999999999" customHeight="1" x14ac:dyDescent="0.35">
      <c r="A287" s="25"/>
      <c r="B287" s="1"/>
      <c r="C287" s="22"/>
      <c r="D287" s="1"/>
      <c r="E287" s="22"/>
      <c r="F287" s="22"/>
      <c r="G287"/>
      <c r="H287" s="22"/>
      <c r="I287" s="22"/>
      <c r="J287" s="25"/>
    </row>
    <row r="288" spans="1:10" s="61" customFormat="1" ht="18.899999999999999" customHeight="1" x14ac:dyDescent="0.35">
      <c r="A288" s="25"/>
      <c r="B288" s="1"/>
      <c r="C288" s="22"/>
      <c r="D288" s="1"/>
      <c r="E288" s="22"/>
      <c r="F288" s="22"/>
      <c r="G288"/>
      <c r="H288" s="22"/>
      <c r="I288" s="22"/>
      <c r="J288" s="25"/>
    </row>
    <row r="289" spans="1:10" s="61" customFormat="1" ht="18.899999999999999" customHeight="1" x14ac:dyDescent="0.35">
      <c r="A289" s="25"/>
      <c r="B289" s="1"/>
      <c r="C289" s="22"/>
      <c r="D289" s="1"/>
      <c r="E289" s="22"/>
      <c r="F289" s="22"/>
      <c r="G289"/>
      <c r="H289" s="22"/>
      <c r="I289" s="22"/>
      <c r="J289" s="25"/>
    </row>
    <row r="290" spans="1:10" s="61" customFormat="1" ht="18.899999999999999" customHeight="1" x14ac:dyDescent="0.35">
      <c r="A290" s="25"/>
      <c r="B290" s="1"/>
      <c r="C290" s="22"/>
      <c r="D290" s="1"/>
      <c r="E290" s="22"/>
      <c r="F290" s="22"/>
      <c r="G290"/>
      <c r="H290" s="22"/>
      <c r="I290" s="22"/>
      <c r="J290" s="25"/>
    </row>
    <row r="291" spans="1:10" s="61" customFormat="1" ht="18.899999999999999" customHeight="1" x14ac:dyDescent="0.35">
      <c r="A291" s="25"/>
      <c r="B291" s="1"/>
      <c r="C291" s="22"/>
      <c r="D291" s="1"/>
      <c r="E291" s="22"/>
      <c r="F291" s="22"/>
      <c r="G291"/>
      <c r="H291" s="22"/>
      <c r="I291" s="22"/>
      <c r="J291" s="25"/>
    </row>
    <row r="292" spans="1:10" s="61" customFormat="1" ht="18.899999999999999" customHeight="1" x14ac:dyDescent="0.35">
      <c r="A292" s="25"/>
      <c r="B292" s="1"/>
      <c r="C292" s="22"/>
      <c r="D292" s="1"/>
      <c r="E292" s="22"/>
      <c r="F292" s="22"/>
      <c r="G292"/>
      <c r="H292" s="22"/>
      <c r="I292" s="22"/>
      <c r="J292" s="25"/>
    </row>
    <row r="293" spans="1:10" s="61" customFormat="1" ht="18.899999999999999" customHeight="1" x14ac:dyDescent="0.35">
      <c r="A293" s="25"/>
      <c r="B293" s="1"/>
      <c r="C293" s="22"/>
      <c r="D293" s="1"/>
      <c r="E293" s="22"/>
      <c r="F293" s="22"/>
      <c r="G293"/>
      <c r="H293" s="22"/>
      <c r="I293" s="22"/>
      <c r="J293" s="25"/>
    </row>
    <row r="294" spans="1:10" s="61" customFormat="1" ht="18.899999999999999" customHeight="1" x14ac:dyDescent="0.35">
      <c r="A294" s="25"/>
      <c r="B294" s="1"/>
      <c r="C294" s="22"/>
      <c r="D294" s="1"/>
      <c r="E294" s="22"/>
      <c r="F294" s="22"/>
      <c r="G294"/>
      <c r="H294" s="22"/>
      <c r="I294" s="22"/>
      <c r="J294" s="25"/>
    </row>
    <row r="295" spans="1:10" s="61" customFormat="1" ht="18.899999999999999" customHeight="1" x14ac:dyDescent="0.35">
      <c r="A295" s="25"/>
      <c r="B295" s="1"/>
      <c r="C295" s="22"/>
      <c r="D295" s="1"/>
      <c r="E295" s="22"/>
      <c r="F295" s="22"/>
      <c r="G295"/>
      <c r="H295" s="22"/>
      <c r="I295" s="22"/>
      <c r="J295" s="25"/>
    </row>
    <row r="296" spans="1:10" s="61" customFormat="1" ht="18.899999999999999" customHeight="1" x14ac:dyDescent="0.35">
      <c r="A296" s="25"/>
      <c r="B296" s="1"/>
      <c r="C296" s="22"/>
      <c r="D296" s="1"/>
      <c r="E296" s="22"/>
      <c r="F296" s="22"/>
      <c r="G296"/>
      <c r="H296" s="22"/>
      <c r="I296" s="22"/>
      <c r="J296" s="25"/>
    </row>
    <row r="297" spans="1:10" s="61" customFormat="1" ht="18.899999999999999" customHeight="1" x14ac:dyDescent="0.35">
      <c r="A297" s="25"/>
      <c r="B297" s="1"/>
      <c r="C297" s="22"/>
      <c r="D297" s="1"/>
      <c r="E297" s="22"/>
      <c r="F297" s="22"/>
      <c r="G297"/>
      <c r="H297" s="22"/>
      <c r="I297" s="22"/>
      <c r="J297" s="25"/>
    </row>
    <row r="298" spans="1:10" s="61" customFormat="1" ht="18.899999999999999" customHeight="1" x14ac:dyDescent="0.35">
      <c r="A298" s="25"/>
      <c r="B298" s="1"/>
      <c r="C298" s="22"/>
      <c r="D298" s="1"/>
      <c r="E298" s="22"/>
      <c r="F298" s="22"/>
      <c r="G298"/>
      <c r="H298" s="22"/>
      <c r="I298" s="22"/>
      <c r="J298" s="25"/>
    </row>
    <row r="299" spans="1:10" s="61" customFormat="1" ht="18.899999999999999" customHeight="1" x14ac:dyDescent="0.35">
      <c r="A299" s="25"/>
      <c r="B299" s="1"/>
      <c r="C299" s="22"/>
      <c r="D299" s="1"/>
      <c r="E299" s="22"/>
      <c r="F299" s="22"/>
      <c r="G299"/>
      <c r="H299" s="22"/>
      <c r="I299" s="22"/>
      <c r="J299" s="25"/>
    </row>
    <row r="300" spans="1:10" s="61" customFormat="1" ht="18.899999999999999" customHeight="1" x14ac:dyDescent="0.35">
      <c r="A300" s="25"/>
      <c r="B300" s="1"/>
      <c r="C300" s="22"/>
      <c r="D300" s="1"/>
      <c r="E300" s="22"/>
      <c r="F300" s="22"/>
      <c r="G300"/>
      <c r="H300" s="22"/>
      <c r="I300" s="22"/>
      <c r="J300" s="25"/>
    </row>
    <row r="301" spans="1:10" s="61" customFormat="1" ht="18.899999999999999" customHeight="1" x14ac:dyDescent="0.35">
      <c r="A301" s="25"/>
      <c r="B301" s="1"/>
      <c r="C301" s="22"/>
      <c r="D301" s="1"/>
      <c r="E301" s="22"/>
      <c r="F301" s="22"/>
      <c r="G301"/>
      <c r="H301" s="22"/>
      <c r="I301" s="22"/>
      <c r="J301" s="25"/>
    </row>
    <row r="302" spans="1:10" s="61" customFormat="1" ht="18.899999999999999" customHeight="1" x14ac:dyDescent="0.35">
      <c r="A302" s="25"/>
      <c r="B302" s="1"/>
      <c r="C302" s="22"/>
      <c r="D302" s="1"/>
      <c r="E302" s="22"/>
      <c r="F302" s="22"/>
      <c r="G302"/>
      <c r="H302" s="22"/>
      <c r="I302" s="22"/>
      <c r="J302" s="25"/>
    </row>
    <row r="303" spans="1:10" s="61" customFormat="1" ht="18.899999999999999" customHeight="1" x14ac:dyDescent="0.35">
      <c r="A303" s="25"/>
      <c r="B303" s="1"/>
      <c r="C303" s="22"/>
      <c r="D303" s="1"/>
      <c r="E303" s="22"/>
      <c r="F303" s="22"/>
      <c r="G303"/>
      <c r="H303" s="22"/>
      <c r="I303" s="22"/>
      <c r="J303" s="25"/>
    </row>
    <row r="304" spans="1:10" s="61" customFormat="1" ht="18.899999999999999" customHeight="1" x14ac:dyDescent="0.35">
      <c r="A304" s="25"/>
      <c r="B304" s="1"/>
      <c r="C304" s="22"/>
      <c r="D304" s="1"/>
      <c r="E304" s="22"/>
      <c r="F304" s="22"/>
      <c r="G304"/>
      <c r="H304" s="22"/>
      <c r="I304" s="22"/>
      <c r="J304" s="25"/>
    </row>
    <row r="305" spans="1:10" s="61" customFormat="1" ht="18.899999999999999" customHeight="1" x14ac:dyDescent="0.35">
      <c r="A305" s="25"/>
      <c r="B305" s="1"/>
      <c r="C305" s="22"/>
      <c r="D305" s="1"/>
      <c r="E305" s="22"/>
      <c r="F305" s="22"/>
      <c r="G305"/>
      <c r="H305" s="22"/>
      <c r="I305" s="22"/>
      <c r="J305" s="25"/>
    </row>
    <row r="306" spans="1:10" s="61" customFormat="1" ht="18.899999999999999" customHeight="1" x14ac:dyDescent="0.35">
      <c r="A306" s="25"/>
      <c r="B306" s="1"/>
      <c r="C306" s="22"/>
      <c r="D306" s="1"/>
      <c r="E306" s="22"/>
      <c r="F306" s="22"/>
      <c r="G306"/>
      <c r="H306" s="22"/>
      <c r="I306" s="22"/>
      <c r="J306" s="25"/>
    </row>
    <row r="307" spans="1:10" s="61" customFormat="1" ht="18.899999999999999" customHeight="1" x14ac:dyDescent="0.35">
      <c r="A307" s="25"/>
      <c r="B307" s="1"/>
      <c r="C307" s="22"/>
      <c r="D307" s="1"/>
      <c r="E307" s="22"/>
      <c r="F307" s="22"/>
      <c r="G307"/>
      <c r="H307" s="22"/>
      <c r="I307" s="22"/>
      <c r="J307" s="25"/>
    </row>
    <row r="308" spans="1:10" s="61" customFormat="1" ht="18.899999999999999" customHeight="1" x14ac:dyDescent="0.35">
      <c r="A308" s="25"/>
      <c r="B308" s="1"/>
      <c r="C308" s="22"/>
      <c r="D308" s="1"/>
      <c r="E308" s="22"/>
      <c r="F308" s="22"/>
      <c r="G308"/>
      <c r="H308" s="22"/>
      <c r="I308" s="22"/>
      <c r="J308" s="25"/>
    </row>
    <row r="309" spans="1:10" s="61" customFormat="1" ht="18.899999999999999" customHeight="1" x14ac:dyDescent="0.35">
      <c r="A309" s="25"/>
      <c r="B309" s="1"/>
      <c r="C309" s="22"/>
      <c r="D309" s="1"/>
      <c r="E309" s="22"/>
      <c r="F309" s="22"/>
      <c r="G309"/>
      <c r="H309" s="22"/>
      <c r="I309" s="22"/>
      <c r="J309" s="25"/>
    </row>
    <row r="310" spans="1:10" s="61" customFormat="1" ht="18.899999999999999" customHeight="1" x14ac:dyDescent="0.35">
      <c r="A310" s="25"/>
      <c r="B310" s="1"/>
      <c r="C310" s="22"/>
      <c r="D310" s="1"/>
      <c r="E310" s="22"/>
      <c r="F310" s="22"/>
      <c r="G310"/>
      <c r="H310" s="22"/>
      <c r="I310" s="22"/>
      <c r="J310" s="25"/>
    </row>
    <row r="311" spans="1:10" s="61" customFormat="1" ht="18.899999999999999" customHeight="1" x14ac:dyDescent="0.35">
      <c r="A311" s="25"/>
      <c r="B311" s="1"/>
      <c r="C311" s="22"/>
      <c r="D311" s="1"/>
      <c r="E311" s="22"/>
      <c r="F311" s="22"/>
      <c r="G311"/>
      <c r="H311" s="22"/>
      <c r="I311" s="22"/>
      <c r="J311" s="25"/>
    </row>
    <row r="312" spans="1:10" s="61" customFormat="1" ht="18.899999999999999" customHeight="1" x14ac:dyDescent="0.35">
      <c r="A312" s="25"/>
      <c r="B312" s="1"/>
      <c r="C312" s="22"/>
      <c r="D312" s="1"/>
      <c r="E312" s="22"/>
      <c r="F312" s="22"/>
      <c r="G312"/>
      <c r="H312" s="22"/>
      <c r="I312" s="22"/>
      <c r="J312" s="25"/>
    </row>
    <row r="313" spans="1:10" s="61" customFormat="1" ht="18.899999999999999" customHeight="1" x14ac:dyDescent="0.35">
      <c r="A313" s="25"/>
      <c r="B313" s="1"/>
      <c r="C313" s="22"/>
      <c r="D313" s="1"/>
      <c r="E313" s="22"/>
      <c r="F313" s="22"/>
      <c r="G313"/>
      <c r="H313" s="22"/>
      <c r="I313" s="22"/>
      <c r="J313" s="25"/>
    </row>
    <row r="314" spans="1:10" s="61" customFormat="1" ht="18.899999999999999" customHeight="1" x14ac:dyDescent="0.35">
      <c r="A314" s="25"/>
      <c r="B314" s="1"/>
      <c r="C314" s="22"/>
      <c r="D314" s="1"/>
      <c r="E314" s="22"/>
      <c r="F314" s="22"/>
      <c r="G314"/>
      <c r="H314" s="22"/>
      <c r="I314" s="22"/>
      <c r="J314" s="25"/>
    </row>
    <row r="315" spans="1:10" s="61" customFormat="1" ht="18.899999999999999" customHeight="1" x14ac:dyDescent="0.35">
      <c r="A315" s="25"/>
      <c r="B315" s="1"/>
      <c r="C315" s="22"/>
      <c r="D315" s="1"/>
      <c r="E315" s="22"/>
      <c r="F315" s="22"/>
      <c r="G315"/>
      <c r="H315" s="22"/>
      <c r="I315" s="22"/>
      <c r="J315" s="25"/>
    </row>
    <row r="316" spans="1:10" s="61" customFormat="1" ht="18.899999999999999" customHeight="1" x14ac:dyDescent="0.35">
      <c r="A316" s="25"/>
      <c r="B316" s="1"/>
      <c r="C316" s="22"/>
      <c r="D316" s="1"/>
      <c r="E316" s="22"/>
      <c r="F316" s="22"/>
      <c r="G316"/>
      <c r="H316" s="22"/>
      <c r="I316" s="22"/>
      <c r="J316" s="25"/>
    </row>
    <row r="317" spans="1:10" s="61" customFormat="1" ht="18.899999999999999" customHeight="1" x14ac:dyDescent="0.35">
      <c r="A317" s="25"/>
      <c r="B317" s="1"/>
      <c r="C317" s="22"/>
      <c r="D317" s="1"/>
      <c r="E317" s="22"/>
      <c r="F317" s="22"/>
      <c r="G317"/>
      <c r="H317" s="22"/>
      <c r="I317" s="22"/>
      <c r="J317" s="25"/>
    </row>
    <row r="318" spans="1:10" s="61" customFormat="1" ht="18.899999999999999" customHeight="1" x14ac:dyDescent="0.35">
      <c r="A318" s="25"/>
      <c r="B318" s="1"/>
      <c r="C318" s="22"/>
      <c r="D318" s="1"/>
      <c r="E318" s="22"/>
      <c r="F318" s="22"/>
      <c r="G318"/>
      <c r="H318" s="22"/>
      <c r="I318" s="22"/>
      <c r="J318" s="25"/>
    </row>
    <row r="319" spans="1:10" s="61" customFormat="1" ht="18.899999999999999" customHeight="1" x14ac:dyDescent="0.35">
      <c r="A319" s="25"/>
      <c r="B319" s="1"/>
      <c r="C319" s="22"/>
      <c r="D319" s="1"/>
      <c r="E319" s="22"/>
      <c r="F319" s="22"/>
      <c r="G319"/>
      <c r="H319" s="22"/>
      <c r="I319" s="22"/>
      <c r="J319" s="25"/>
    </row>
    <row r="320" spans="1:10" s="61" customFormat="1" ht="18.899999999999999" customHeight="1" x14ac:dyDescent="0.35">
      <c r="A320" s="25"/>
      <c r="B320" s="1"/>
      <c r="C320" s="22"/>
      <c r="D320" s="1"/>
      <c r="E320" s="22"/>
      <c r="F320" s="22"/>
      <c r="G320"/>
      <c r="H320" s="22"/>
      <c r="I320" s="22"/>
      <c r="J320" s="25"/>
    </row>
    <row r="321" spans="1:10" s="61" customFormat="1" ht="18.899999999999999" customHeight="1" x14ac:dyDescent="0.35">
      <c r="A321" s="25"/>
      <c r="B321" s="1"/>
      <c r="C321" s="22"/>
      <c r="D321" s="1"/>
      <c r="E321" s="22"/>
      <c r="F321" s="22"/>
      <c r="G321"/>
      <c r="H321" s="22"/>
      <c r="I321" s="22"/>
      <c r="J321" s="25"/>
    </row>
    <row r="322" spans="1:10" s="61" customFormat="1" ht="18.899999999999999" customHeight="1" x14ac:dyDescent="0.35">
      <c r="A322" s="25"/>
      <c r="B322" s="1"/>
      <c r="C322" s="22"/>
      <c r="D322" s="1"/>
      <c r="E322" s="22"/>
      <c r="F322" s="22"/>
      <c r="G322"/>
      <c r="H322" s="22"/>
      <c r="I322" s="22"/>
      <c r="J322" s="25"/>
    </row>
    <row r="323" spans="1:10" s="61" customFormat="1" ht="18.899999999999999" customHeight="1" x14ac:dyDescent="0.35">
      <c r="A323" s="25"/>
      <c r="B323" s="1"/>
      <c r="C323" s="22"/>
      <c r="D323" s="1"/>
      <c r="E323" s="22"/>
      <c r="F323" s="22"/>
      <c r="G323"/>
      <c r="H323" s="22"/>
      <c r="I323" s="22"/>
      <c r="J323" s="25"/>
    </row>
    <row r="324" spans="1:10" s="61" customFormat="1" ht="18.899999999999999" customHeight="1" x14ac:dyDescent="0.35">
      <c r="A324" s="25"/>
      <c r="B324" s="1"/>
      <c r="C324" s="22"/>
      <c r="D324" s="1"/>
      <c r="E324" s="22"/>
      <c r="F324" s="22"/>
      <c r="G324"/>
      <c r="H324" s="22"/>
      <c r="I324" s="22"/>
      <c r="J324" s="25"/>
    </row>
    <row r="325" spans="1:10" s="61" customFormat="1" ht="18.899999999999999" customHeight="1" x14ac:dyDescent="0.35">
      <c r="A325" s="25"/>
      <c r="B325" s="1"/>
      <c r="C325" s="22"/>
      <c r="D325" s="1"/>
      <c r="E325" s="22"/>
      <c r="F325" s="22"/>
      <c r="G325"/>
      <c r="H325" s="22"/>
      <c r="I325" s="22"/>
      <c r="J325" s="25"/>
    </row>
    <row r="326" spans="1:10" s="61" customFormat="1" ht="18.899999999999999" customHeight="1" x14ac:dyDescent="0.35">
      <c r="A326" s="25"/>
      <c r="B326" s="1"/>
      <c r="C326" s="22"/>
      <c r="D326" s="1"/>
      <c r="E326" s="22"/>
      <c r="F326" s="22"/>
      <c r="G326"/>
      <c r="H326" s="22"/>
      <c r="I326" s="22"/>
      <c r="J326" s="25"/>
    </row>
    <row r="327" spans="1:10" s="61" customFormat="1" ht="18.899999999999999" customHeight="1" x14ac:dyDescent="0.35">
      <c r="A327" s="25"/>
      <c r="B327" s="1"/>
      <c r="C327" s="22"/>
      <c r="D327" s="1"/>
      <c r="E327" s="22"/>
      <c r="F327" s="22"/>
      <c r="G327"/>
      <c r="H327" s="22"/>
      <c r="I327" s="22"/>
      <c r="J327" s="25"/>
    </row>
    <row r="328" spans="1:10" s="61" customFormat="1" ht="18.899999999999999" customHeight="1" x14ac:dyDescent="0.35">
      <c r="A328" s="25"/>
      <c r="B328" s="1"/>
      <c r="C328" s="22"/>
      <c r="D328" s="1"/>
      <c r="E328" s="22"/>
      <c r="F328" s="22"/>
      <c r="G328"/>
      <c r="H328" s="22"/>
      <c r="I328" s="22"/>
      <c r="J328" s="25"/>
    </row>
    <row r="329" spans="1:10" s="61" customFormat="1" ht="18.899999999999999" customHeight="1" x14ac:dyDescent="0.35">
      <c r="A329" s="25"/>
      <c r="B329" s="1"/>
      <c r="C329" s="22"/>
      <c r="D329" s="1"/>
      <c r="E329" s="22"/>
      <c r="F329" s="22"/>
      <c r="G329"/>
      <c r="H329" s="22"/>
      <c r="I329" s="22"/>
      <c r="J329" s="25"/>
    </row>
    <row r="330" spans="1:10" s="61" customFormat="1" ht="18.899999999999999" customHeight="1" x14ac:dyDescent="0.35">
      <c r="A330" s="25"/>
      <c r="B330" s="1"/>
      <c r="C330" s="22"/>
      <c r="D330" s="1"/>
      <c r="E330" s="22"/>
      <c r="F330" s="22"/>
      <c r="G330"/>
      <c r="H330" s="22"/>
      <c r="I330" s="22"/>
      <c r="J330" s="25"/>
    </row>
    <row r="331" spans="1:10" s="61" customFormat="1" ht="18.899999999999999" customHeight="1" x14ac:dyDescent="0.35">
      <c r="A331" s="25"/>
      <c r="B331" s="1"/>
      <c r="C331" s="22"/>
      <c r="D331" s="1"/>
      <c r="E331" s="22"/>
      <c r="F331" s="22"/>
      <c r="G331"/>
      <c r="H331" s="22"/>
      <c r="I331" s="22"/>
      <c r="J331" s="25"/>
    </row>
    <row r="332" spans="1:10" s="61" customFormat="1" ht="18.899999999999999" customHeight="1" x14ac:dyDescent="0.35">
      <c r="A332" s="25"/>
      <c r="B332" s="1"/>
      <c r="C332" s="22"/>
      <c r="D332" s="1"/>
      <c r="E332" s="22"/>
      <c r="F332" s="22"/>
      <c r="G332"/>
      <c r="H332" s="22"/>
      <c r="I332" s="22"/>
      <c r="J332" s="25"/>
    </row>
    <row r="333" spans="1:10" s="61" customFormat="1" ht="18.899999999999999" customHeight="1" x14ac:dyDescent="0.35">
      <c r="A333" s="25"/>
      <c r="B333" s="1"/>
      <c r="C333" s="22"/>
      <c r="D333" s="1"/>
      <c r="E333" s="22"/>
      <c r="F333" s="22"/>
      <c r="G333"/>
      <c r="H333" s="22"/>
      <c r="I333" s="22"/>
      <c r="J333" s="25"/>
    </row>
    <row r="334" spans="1:10" s="61" customFormat="1" ht="18.899999999999999" customHeight="1" x14ac:dyDescent="0.35">
      <c r="A334" s="25"/>
      <c r="B334" s="1"/>
      <c r="C334" s="22"/>
      <c r="D334" s="1"/>
      <c r="E334" s="22"/>
      <c r="F334" s="22"/>
      <c r="G334"/>
      <c r="H334" s="22"/>
      <c r="I334" s="22"/>
      <c r="J334" s="25"/>
    </row>
    <row r="335" spans="1:10" s="61" customFormat="1" ht="18.899999999999999" customHeight="1" x14ac:dyDescent="0.35">
      <c r="A335" s="25"/>
      <c r="B335" s="1"/>
      <c r="C335" s="22"/>
      <c r="D335" s="1"/>
      <c r="E335" s="22"/>
      <c r="F335" s="22"/>
      <c r="G335"/>
      <c r="H335" s="22"/>
      <c r="I335" s="22"/>
      <c r="J335" s="25"/>
    </row>
    <row r="336" spans="1:10" s="61" customFormat="1" ht="18.899999999999999" customHeight="1" x14ac:dyDescent="0.35">
      <c r="A336" s="25"/>
      <c r="B336" s="1"/>
      <c r="C336" s="22"/>
      <c r="D336" s="1"/>
      <c r="E336" s="22"/>
      <c r="F336" s="22"/>
      <c r="G336"/>
      <c r="H336" s="22"/>
      <c r="I336" s="22"/>
      <c r="J336" s="25"/>
    </row>
    <row r="337" spans="1:10" s="61" customFormat="1" ht="18.899999999999999" customHeight="1" x14ac:dyDescent="0.35">
      <c r="A337" s="25"/>
      <c r="B337" s="1"/>
      <c r="C337" s="22"/>
      <c r="D337" s="1"/>
      <c r="E337" s="22"/>
      <c r="F337" s="22"/>
      <c r="G337"/>
      <c r="H337" s="22"/>
      <c r="I337" s="22"/>
      <c r="J337" s="25"/>
    </row>
    <row r="338" spans="1:10" s="61" customFormat="1" ht="18.899999999999999" customHeight="1" x14ac:dyDescent="0.35">
      <c r="A338" s="25"/>
      <c r="B338" s="1"/>
      <c r="C338" s="22"/>
      <c r="D338" s="1"/>
      <c r="E338" s="22"/>
      <c r="F338" s="22"/>
      <c r="G338"/>
      <c r="H338" s="22"/>
      <c r="I338" s="22"/>
      <c r="J338" s="25"/>
    </row>
    <row r="339" spans="1:10" s="61" customFormat="1" ht="18.899999999999999" customHeight="1" x14ac:dyDescent="0.35">
      <c r="A339" s="25"/>
      <c r="B339" s="1"/>
      <c r="C339" s="22"/>
      <c r="D339" s="1"/>
      <c r="E339" s="22"/>
      <c r="F339" s="22"/>
      <c r="G339"/>
      <c r="H339" s="22"/>
      <c r="I339" s="22"/>
      <c r="J339" s="25"/>
    </row>
    <row r="340" spans="1:10" s="61" customFormat="1" ht="18.899999999999999" customHeight="1" x14ac:dyDescent="0.35">
      <c r="A340" s="25"/>
      <c r="B340" s="1"/>
      <c r="C340" s="22"/>
      <c r="D340" s="1"/>
      <c r="E340" s="22"/>
      <c r="F340" s="22"/>
      <c r="G340"/>
      <c r="H340" s="22"/>
      <c r="I340" s="22"/>
      <c r="J340" s="25"/>
    </row>
    <row r="341" spans="1:10" s="61" customFormat="1" ht="18.899999999999999" customHeight="1" x14ac:dyDescent="0.35">
      <c r="A341" s="25"/>
      <c r="B341" s="1"/>
      <c r="C341" s="22"/>
      <c r="D341" s="1"/>
      <c r="E341" s="22"/>
      <c r="F341" s="22"/>
      <c r="G341"/>
      <c r="H341" s="22"/>
      <c r="I341" s="22"/>
      <c r="J341" s="25"/>
    </row>
    <row r="342" spans="1:10" s="61" customFormat="1" ht="18.899999999999999" customHeight="1" x14ac:dyDescent="0.35">
      <c r="A342" s="25"/>
      <c r="B342" s="1"/>
      <c r="C342" s="22"/>
      <c r="D342" s="1"/>
      <c r="E342" s="22"/>
      <c r="F342" s="22"/>
      <c r="G342"/>
      <c r="H342" s="22"/>
      <c r="I342" s="22"/>
      <c r="J342" s="25"/>
    </row>
    <row r="343" spans="1:10" s="61" customFormat="1" ht="18.899999999999999" customHeight="1" x14ac:dyDescent="0.35">
      <c r="A343" s="25"/>
      <c r="B343" s="1"/>
      <c r="C343" s="22"/>
      <c r="D343" s="1"/>
      <c r="E343" s="22"/>
      <c r="F343" s="22"/>
      <c r="G343"/>
      <c r="H343" s="22"/>
      <c r="I343" s="22"/>
      <c r="J343" s="25"/>
    </row>
    <row r="344" spans="1:10" s="61" customFormat="1" ht="18.899999999999999" customHeight="1" x14ac:dyDescent="0.35">
      <c r="A344" s="25"/>
      <c r="B344" s="1"/>
      <c r="C344" s="22"/>
      <c r="D344" s="1"/>
      <c r="E344" s="22"/>
      <c r="F344" s="22"/>
      <c r="G344"/>
      <c r="H344" s="22"/>
      <c r="I344" s="22"/>
      <c r="J344" s="25"/>
    </row>
    <row r="345" spans="1:10" s="61" customFormat="1" ht="18.899999999999999" customHeight="1" x14ac:dyDescent="0.35">
      <c r="A345" s="25"/>
      <c r="B345" s="1"/>
      <c r="C345" s="22"/>
      <c r="D345" s="1"/>
      <c r="E345" s="22"/>
      <c r="F345" s="22"/>
      <c r="G345"/>
      <c r="H345" s="22"/>
      <c r="I345" s="22"/>
      <c r="J345" s="25"/>
    </row>
    <row r="346" spans="1:10" s="61" customFormat="1" ht="18.899999999999999" customHeight="1" x14ac:dyDescent="0.35">
      <c r="A346" s="25"/>
      <c r="B346" s="1"/>
      <c r="C346" s="22"/>
      <c r="D346" s="1"/>
      <c r="E346" s="22"/>
      <c r="F346" s="22"/>
      <c r="G346"/>
      <c r="H346" s="22"/>
      <c r="I346" s="22"/>
      <c r="J346" s="25"/>
    </row>
    <row r="347" spans="1:10" s="61" customFormat="1" ht="18.899999999999999" customHeight="1" x14ac:dyDescent="0.35">
      <c r="A347" s="25"/>
      <c r="B347" s="1"/>
      <c r="C347" s="22"/>
      <c r="D347" s="1"/>
      <c r="E347" s="22"/>
      <c r="F347" s="22"/>
      <c r="G347"/>
      <c r="H347" s="22"/>
      <c r="I347" s="22"/>
      <c r="J347" s="25"/>
    </row>
    <row r="348" spans="1:10" s="61" customFormat="1" ht="18.899999999999999" customHeight="1" x14ac:dyDescent="0.35">
      <c r="A348" s="25"/>
      <c r="B348" s="1"/>
      <c r="C348" s="22"/>
      <c r="D348" s="1"/>
      <c r="E348" s="22"/>
      <c r="F348" s="22"/>
      <c r="G348"/>
      <c r="H348" s="22"/>
      <c r="I348" s="22"/>
      <c r="J348" s="25"/>
    </row>
    <row r="349" spans="1:10" s="61" customFormat="1" ht="18.899999999999999" customHeight="1" x14ac:dyDescent="0.35">
      <c r="A349" s="25"/>
      <c r="B349" s="1"/>
      <c r="C349" s="22"/>
      <c r="D349" s="1"/>
      <c r="E349" s="22"/>
      <c r="F349" s="22"/>
      <c r="G349"/>
      <c r="H349" s="22"/>
      <c r="I349" s="22"/>
      <c r="J349" s="25"/>
    </row>
    <row r="350" spans="1:10" s="61" customFormat="1" ht="18.899999999999999" customHeight="1" x14ac:dyDescent="0.35">
      <c r="A350" s="25"/>
      <c r="B350" s="1"/>
      <c r="C350" s="22"/>
      <c r="D350" s="1"/>
      <c r="E350" s="22"/>
      <c r="F350" s="22"/>
      <c r="G350"/>
      <c r="H350" s="22"/>
      <c r="I350" s="22"/>
      <c r="J350" s="25"/>
    </row>
    <row r="351" spans="1:10" s="61" customFormat="1" ht="18.899999999999999" customHeight="1" x14ac:dyDescent="0.35">
      <c r="A351" s="25"/>
      <c r="B351" s="1"/>
      <c r="C351" s="22"/>
      <c r="D351" s="1"/>
      <c r="E351" s="22"/>
      <c r="F351" s="22"/>
      <c r="G351"/>
      <c r="H351" s="22"/>
      <c r="I351" s="22"/>
      <c r="J351" s="25"/>
    </row>
    <row r="352" spans="1:10" s="61" customFormat="1" ht="18.899999999999999" customHeight="1" x14ac:dyDescent="0.35">
      <c r="A352" s="25"/>
      <c r="B352" s="1"/>
      <c r="C352" s="22"/>
      <c r="D352" s="1"/>
      <c r="E352" s="22"/>
      <c r="F352" s="22"/>
      <c r="G352"/>
      <c r="H352" s="22"/>
      <c r="I352" s="22"/>
      <c r="J352" s="25"/>
    </row>
    <row r="353" spans="1:10" s="61" customFormat="1" ht="18.899999999999999" customHeight="1" x14ac:dyDescent="0.35">
      <c r="A353" s="25"/>
      <c r="B353" s="1"/>
      <c r="C353" s="22"/>
      <c r="D353" s="1"/>
      <c r="E353" s="22"/>
      <c r="F353" s="22"/>
      <c r="G353"/>
      <c r="H353" s="22"/>
      <c r="I353" s="22"/>
      <c r="J353" s="25"/>
    </row>
    <row r="354" spans="1:10" s="61" customFormat="1" ht="18.899999999999999" customHeight="1" x14ac:dyDescent="0.35">
      <c r="A354" s="25"/>
      <c r="B354" s="1"/>
      <c r="C354" s="22"/>
      <c r="D354" s="1"/>
      <c r="E354" s="22"/>
      <c r="F354" s="22"/>
      <c r="G354"/>
      <c r="H354" s="22"/>
      <c r="I354" s="22"/>
      <c r="J354" s="25"/>
    </row>
    <row r="355" spans="1:10" s="61" customFormat="1" ht="18.899999999999999" customHeight="1" x14ac:dyDescent="0.35">
      <c r="A355" s="25"/>
      <c r="B355" s="1"/>
      <c r="C355" s="22"/>
      <c r="D355" s="1"/>
      <c r="E355" s="22"/>
      <c r="F355" s="22"/>
      <c r="G355"/>
      <c r="H355" s="22"/>
      <c r="I355" s="22"/>
      <c r="J355" s="25"/>
    </row>
    <row r="356" spans="1:10" s="61" customFormat="1" ht="18.899999999999999" customHeight="1" x14ac:dyDescent="0.35">
      <c r="A356" s="25"/>
      <c r="B356" s="1"/>
      <c r="C356" s="22"/>
      <c r="D356" s="1"/>
      <c r="E356" s="22"/>
      <c r="F356" s="22"/>
      <c r="G356"/>
      <c r="H356" s="22"/>
      <c r="I356" s="22"/>
      <c r="J356" s="25"/>
    </row>
    <row r="357" spans="1:10" s="61" customFormat="1" ht="18.899999999999999" customHeight="1" x14ac:dyDescent="0.35">
      <c r="A357" s="25"/>
      <c r="B357" s="1"/>
      <c r="C357" s="22"/>
      <c r="D357" s="1"/>
      <c r="E357" s="22"/>
      <c r="F357" s="22"/>
      <c r="G357"/>
      <c r="H357" s="22"/>
      <c r="I357" s="22"/>
      <c r="J357" s="25"/>
    </row>
    <row r="358" spans="1:10" s="61" customFormat="1" ht="18.899999999999999" customHeight="1" x14ac:dyDescent="0.35">
      <c r="A358" s="25"/>
      <c r="B358" s="1"/>
      <c r="C358" s="22"/>
      <c r="D358" s="1"/>
      <c r="E358" s="22"/>
      <c r="F358" s="22"/>
      <c r="G358"/>
      <c r="H358" s="22"/>
      <c r="I358" s="22"/>
      <c r="J358" s="25"/>
    </row>
    <row r="359" spans="1:10" s="61" customFormat="1" ht="18.899999999999999" customHeight="1" x14ac:dyDescent="0.35">
      <c r="A359" s="25"/>
      <c r="B359" s="1"/>
      <c r="C359" s="22"/>
      <c r="D359" s="1"/>
      <c r="E359" s="22"/>
      <c r="F359" s="22"/>
      <c r="G359"/>
      <c r="H359" s="22"/>
      <c r="I359" s="22"/>
      <c r="J359" s="25"/>
    </row>
    <row r="360" spans="1:10" s="61" customFormat="1" ht="18.899999999999999" customHeight="1" x14ac:dyDescent="0.35">
      <c r="A360" s="25"/>
      <c r="B360" s="1"/>
      <c r="C360" s="22"/>
      <c r="D360" s="1"/>
      <c r="E360" s="22"/>
      <c r="F360" s="22"/>
      <c r="G360"/>
      <c r="H360" s="22"/>
      <c r="I360" s="22"/>
      <c r="J360" s="25"/>
    </row>
    <row r="361" spans="1:10" s="61" customFormat="1" ht="18.899999999999999" customHeight="1" x14ac:dyDescent="0.35">
      <c r="A361" s="25"/>
      <c r="B361" s="1"/>
      <c r="C361" s="22"/>
      <c r="D361" s="1"/>
      <c r="E361" s="22"/>
      <c r="F361" s="22"/>
      <c r="G361"/>
      <c r="H361" s="22"/>
      <c r="I361" s="22"/>
      <c r="J361" s="25"/>
    </row>
    <row r="362" spans="1:10" s="61" customFormat="1" ht="18.899999999999999" customHeight="1" x14ac:dyDescent="0.35">
      <c r="A362" s="25"/>
      <c r="B362" s="1"/>
      <c r="C362" s="22"/>
      <c r="D362" s="1"/>
      <c r="E362" s="22"/>
      <c r="F362" s="22"/>
      <c r="G362"/>
      <c r="H362" s="22"/>
      <c r="I362" s="22"/>
      <c r="J362" s="25"/>
    </row>
    <row r="363" spans="1:10" s="61" customFormat="1" ht="18.899999999999999" customHeight="1" x14ac:dyDescent="0.35">
      <c r="A363" s="25"/>
      <c r="B363" s="1"/>
      <c r="C363" s="22"/>
      <c r="D363" s="1"/>
      <c r="E363" s="22"/>
      <c r="F363" s="22"/>
      <c r="G363"/>
      <c r="H363" s="22"/>
      <c r="I363" s="22"/>
      <c r="J363" s="25"/>
    </row>
    <row r="364" spans="1:10" s="61" customFormat="1" ht="18.899999999999999" customHeight="1" x14ac:dyDescent="0.35">
      <c r="A364" s="25"/>
      <c r="B364" s="1"/>
      <c r="C364" s="22"/>
      <c r="D364" s="1"/>
      <c r="E364" s="22"/>
      <c r="F364" s="22"/>
      <c r="G364"/>
      <c r="H364" s="22"/>
      <c r="I364" s="22"/>
      <c r="J364" s="25"/>
    </row>
    <row r="365" spans="1:10" s="61" customFormat="1" ht="18.899999999999999" customHeight="1" x14ac:dyDescent="0.35">
      <c r="A365" s="25"/>
      <c r="B365" s="1"/>
      <c r="C365" s="22"/>
      <c r="D365" s="1"/>
      <c r="E365" s="22"/>
      <c r="F365" s="22"/>
      <c r="G365"/>
      <c r="H365" s="22"/>
      <c r="I365" s="22"/>
      <c r="J365" s="25"/>
    </row>
    <row r="366" spans="1:10" s="61" customFormat="1" ht="18.899999999999999" customHeight="1" x14ac:dyDescent="0.35">
      <c r="A366" s="25"/>
      <c r="B366" s="1"/>
      <c r="C366" s="22"/>
      <c r="D366" s="1"/>
      <c r="E366" s="22"/>
      <c r="F366" s="22"/>
      <c r="G366"/>
      <c r="H366" s="22"/>
      <c r="I366" s="22"/>
      <c r="J366" s="25"/>
    </row>
    <row r="367" spans="1:10" s="61" customFormat="1" ht="18.899999999999999" customHeight="1" x14ac:dyDescent="0.35">
      <c r="A367" s="25"/>
      <c r="B367" s="1"/>
      <c r="C367" s="22"/>
      <c r="D367" s="1"/>
      <c r="E367" s="22"/>
      <c r="F367" s="22"/>
      <c r="G367"/>
      <c r="H367" s="22"/>
      <c r="I367" s="22"/>
      <c r="J367" s="25"/>
    </row>
    <row r="368" spans="1:10" s="61" customFormat="1" ht="18.899999999999999" customHeight="1" x14ac:dyDescent="0.35">
      <c r="A368" s="25"/>
      <c r="B368" s="1"/>
      <c r="C368" s="22"/>
      <c r="D368" s="1"/>
      <c r="E368" s="22"/>
      <c r="F368" s="22"/>
      <c r="G368"/>
      <c r="H368" s="22"/>
      <c r="I368" s="22"/>
      <c r="J368" s="25"/>
    </row>
    <row r="369" spans="1:10" s="61" customFormat="1" ht="18.899999999999999" customHeight="1" x14ac:dyDescent="0.35">
      <c r="A369" s="25"/>
      <c r="B369" s="1"/>
      <c r="C369" s="22"/>
      <c r="D369" s="1"/>
      <c r="E369" s="22"/>
      <c r="F369" s="22"/>
      <c r="G369"/>
      <c r="H369" s="22"/>
      <c r="I369" s="22"/>
      <c r="J369" s="25"/>
    </row>
    <row r="370" spans="1:10" s="61" customFormat="1" ht="18.899999999999999" customHeight="1" x14ac:dyDescent="0.35">
      <c r="A370" s="25"/>
      <c r="B370" s="1"/>
      <c r="C370" s="22"/>
      <c r="D370" s="1"/>
      <c r="E370" s="22"/>
      <c r="F370" s="22"/>
      <c r="G370"/>
      <c r="H370" s="22"/>
      <c r="I370" s="22"/>
      <c r="J370" s="25"/>
    </row>
    <row r="371" spans="1:10" s="61" customFormat="1" ht="18.899999999999999" customHeight="1" x14ac:dyDescent="0.35">
      <c r="A371" s="25"/>
      <c r="B371" s="1"/>
      <c r="C371" s="22"/>
      <c r="D371" s="1"/>
      <c r="E371" s="22"/>
      <c r="F371" s="22"/>
      <c r="G371"/>
      <c r="H371" s="22"/>
      <c r="I371" s="22"/>
      <c r="J371" s="25"/>
    </row>
    <row r="372" spans="1:10" s="61" customFormat="1" ht="18.899999999999999" customHeight="1" x14ac:dyDescent="0.35">
      <c r="A372" s="25"/>
      <c r="B372" s="1"/>
      <c r="C372" s="22"/>
      <c r="D372" s="1"/>
      <c r="E372" s="22"/>
      <c r="F372" s="22"/>
      <c r="G372"/>
      <c r="H372" s="22"/>
      <c r="I372" s="22"/>
      <c r="J372" s="25"/>
    </row>
    <row r="373" spans="1:10" s="61" customFormat="1" ht="18.899999999999999" customHeight="1" x14ac:dyDescent="0.35">
      <c r="A373" s="25"/>
      <c r="B373" s="1"/>
      <c r="C373" s="22"/>
      <c r="D373" s="1"/>
      <c r="E373" s="22"/>
      <c r="F373" s="22"/>
      <c r="G373"/>
      <c r="H373" s="22"/>
      <c r="I373" s="22"/>
      <c r="J373" s="25"/>
    </row>
    <row r="374" spans="1:10" s="61" customFormat="1" ht="18.899999999999999" customHeight="1" x14ac:dyDescent="0.35">
      <c r="A374" s="25"/>
      <c r="B374" s="1"/>
      <c r="C374" s="22"/>
      <c r="D374" s="1"/>
      <c r="E374" s="22"/>
      <c r="F374" s="22"/>
      <c r="G374"/>
      <c r="H374" s="22"/>
      <c r="I374" s="22"/>
      <c r="J374" s="25"/>
    </row>
    <row r="375" spans="1:10" s="61" customFormat="1" ht="18.899999999999999" customHeight="1" x14ac:dyDescent="0.35">
      <c r="A375" s="25"/>
      <c r="B375" s="1"/>
      <c r="C375" s="22"/>
      <c r="D375" s="1"/>
      <c r="E375" s="22"/>
      <c r="F375" s="22"/>
      <c r="G375"/>
      <c r="H375" s="22"/>
      <c r="I375" s="22"/>
      <c r="J375" s="25"/>
    </row>
    <row r="376" spans="1:10" s="61" customFormat="1" ht="18.899999999999999" customHeight="1" x14ac:dyDescent="0.35">
      <c r="A376" s="25"/>
      <c r="B376" s="1"/>
      <c r="C376" s="22"/>
      <c r="D376" s="1"/>
      <c r="E376" s="22"/>
      <c r="F376" s="22"/>
      <c r="G376"/>
      <c r="H376" s="22"/>
      <c r="I376" s="22"/>
      <c r="J376" s="25"/>
    </row>
    <row r="377" spans="1:10" s="61" customFormat="1" ht="18.899999999999999" customHeight="1" x14ac:dyDescent="0.35">
      <c r="A377" s="25"/>
      <c r="B377" s="1"/>
      <c r="C377" s="22"/>
      <c r="D377" s="1"/>
      <c r="E377" s="22"/>
      <c r="F377" s="22"/>
      <c r="G377"/>
      <c r="H377" s="22"/>
      <c r="I377" s="22"/>
      <c r="J377" s="25"/>
    </row>
    <row r="378" spans="1:10" s="61" customFormat="1" ht="18.899999999999999" customHeight="1" x14ac:dyDescent="0.35">
      <c r="A378" s="25"/>
      <c r="B378" s="1"/>
      <c r="C378" s="22"/>
      <c r="D378" s="1"/>
      <c r="E378" s="22"/>
      <c r="F378" s="22"/>
      <c r="G378"/>
      <c r="H378" s="22"/>
      <c r="I378" s="22"/>
      <c r="J378" s="25"/>
    </row>
    <row r="379" spans="1:10" s="61" customFormat="1" ht="18.899999999999999" customHeight="1" x14ac:dyDescent="0.35">
      <c r="A379" s="25"/>
      <c r="B379" s="1"/>
      <c r="C379" s="22"/>
      <c r="D379" s="1"/>
      <c r="E379" s="22"/>
      <c r="F379" s="22"/>
      <c r="G379"/>
      <c r="H379" s="22"/>
      <c r="I379" s="22"/>
      <c r="J379" s="25"/>
    </row>
    <row r="380" spans="1:10" s="61" customFormat="1" ht="18.899999999999999" customHeight="1" x14ac:dyDescent="0.35">
      <c r="A380" s="25"/>
      <c r="B380" s="1"/>
      <c r="C380" s="22"/>
      <c r="D380" s="1"/>
      <c r="E380" s="22"/>
      <c r="F380" s="22"/>
      <c r="G380"/>
      <c r="H380" s="22"/>
      <c r="I380" s="22"/>
      <c r="J380" s="25"/>
    </row>
    <row r="381" spans="1:10" s="61" customFormat="1" ht="18.899999999999999" customHeight="1" x14ac:dyDescent="0.35">
      <c r="A381" s="25"/>
      <c r="B381" s="1"/>
      <c r="C381" s="22"/>
      <c r="D381" s="1"/>
      <c r="E381" s="22"/>
      <c r="F381" s="22"/>
      <c r="G381"/>
      <c r="H381" s="22"/>
      <c r="I381" s="22"/>
      <c r="J381" s="25"/>
    </row>
    <row r="382" spans="1:10" s="61" customFormat="1" ht="18.899999999999999" customHeight="1" x14ac:dyDescent="0.35">
      <c r="A382" s="25"/>
      <c r="B382" s="1"/>
      <c r="C382" s="22"/>
      <c r="D382" s="1"/>
      <c r="E382" s="22"/>
      <c r="F382" s="22"/>
      <c r="G382"/>
      <c r="H382" s="22"/>
      <c r="I382" s="22"/>
      <c r="J382" s="25"/>
    </row>
    <row r="383" spans="1:10" s="61" customFormat="1" ht="18.899999999999999" customHeight="1" x14ac:dyDescent="0.35">
      <c r="A383" s="25"/>
      <c r="B383" s="1"/>
      <c r="C383" s="22"/>
      <c r="D383" s="1"/>
      <c r="E383" s="22"/>
      <c r="F383" s="22"/>
      <c r="G383"/>
      <c r="H383" s="22"/>
      <c r="I383" s="22"/>
      <c r="J383" s="25"/>
    </row>
    <row r="384" spans="1:10" s="61" customFormat="1" ht="18.899999999999999" customHeight="1" x14ac:dyDescent="0.35">
      <c r="A384" s="25"/>
      <c r="B384" s="1"/>
      <c r="C384" s="22"/>
      <c r="D384" s="1"/>
      <c r="E384" s="22"/>
      <c r="F384" s="22"/>
      <c r="G384"/>
      <c r="H384" s="22"/>
      <c r="I384" s="22"/>
      <c r="J384" s="25"/>
    </row>
    <row r="385" spans="1:10" s="61" customFormat="1" ht="18.899999999999999" customHeight="1" x14ac:dyDescent="0.35">
      <c r="A385" s="25"/>
      <c r="B385" s="1"/>
      <c r="C385" s="22"/>
      <c r="D385" s="1"/>
      <c r="E385" s="22"/>
      <c r="F385" s="22"/>
      <c r="G385"/>
      <c r="H385" s="22"/>
      <c r="I385" s="22"/>
      <c r="J385" s="25"/>
    </row>
    <row r="386" spans="1:10" s="61" customFormat="1" ht="18.899999999999999" customHeight="1" x14ac:dyDescent="0.35">
      <c r="A386" s="25"/>
      <c r="B386" s="1"/>
      <c r="C386" s="22"/>
      <c r="D386" s="1"/>
      <c r="E386" s="22"/>
      <c r="F386" s="22"/>
      <c r="G386"/>
      <c r="H386" s="22"/>
      <c r="I386" s="22"/>
      <c r="J386" s="25"/>
    </row>
    <row r="387" spans="1:10" s="61" customFormat="1" ht="18.899999999999999" customHeight="1" x14ac:dyDescent="0.35">
      <c r="A387" s="25"/>
      <c r="B387" s="1"/>
      <c r="C387" s="22"/>
      <c r="D387" s="1"/>
      <c r="E387" s="22"/>
      <c r="F387" s="22"/>
      <c r="G387"/>
      <c r="H387" s="22"/>
      <c r="I387" s="22"/>
      <c r="J387" s="25"/>
    </row>
    <row r="388" spans="1:10" s="61" customFormat="1" ht="18.899999999999999" customHeight="1" x14ac:dyDescent="0.35">
      <c r="A388" s="25"/>
      <c r="B388" s="1"/>
      <c r="C388" s="22"/>
      <c r="D388" s="1"/>
      <c r="E388" s="22"/>
      <c r="F388" s="22"/>
      <c r="G388"/>
      <c r="H388" s="22"/>
      <c r="I388" s="22"/>
      <c r="J388" s="25"/>
    </row>
    <row r="389" spans="1:10" s="61" customFormat="1" ht="18.899999999999999" customHeight="1" x14ac:dyDescent="0.35">
      <c r="A389" s="25"/>
      <c r="B389" s="1"/>
      <c r="C389" s="22"/>
      <c r="D389" s="1"/>
      <c r="E389" s="22"/>
      <c r="F389" s="22"/>
      <c r="G389"/>
      <c r="H389" s="22"/>
      <c r="I389" s="22"/>
      <c r="J389" s="25"/>
    </row>
    <row r="390" spans="1:10" s="61" customFormat="1" ht="18.899999999999999" customHeight="1" x14ac:dyDescent="0.35">
      <c r="A390" s="25"/>
      <c r="B390" s="1"/>
      <c r="C390" s="22"/>
      <c r="D390" s="1"/>
      <c r="E390" s="22"/>
      <c r="F390" s="22"/>
      <c r="G390"/>
      <c r="H390" s="22"/>
      <c r="I390" s="22"/>
      <c r="J390" s="25"/>
    </row>
    <row r="391" spans="1:10" s="61" customFormat="1" ht="18.899999999999999" customHeight="1" x14ac:dyDescent="0.35">
      <c r="A391" s="25"/>
      <c r="B391" s="1"/>
      <c r="C391" s="22"/>
      <c r="D391" s="1"/>
      <c r="E391" s="22"/>
      <c r="F391" s="22"/>
      <c r="G391"/>
      <c r="H391" s="22"/>
      <c r="I391" s="22"/>
      <c r="J391" s="25"/>
    </row>
    <row r="392" spans="1:10" s="61" customFormat="1" ht="18.899999999999999" customHeight="1" x14ac:dyDescent="0.35">
      <c r="A392" s="25"/>
      <c r="B392" s="1"/>
      <c r="C392" s="22"/>
      <c r="D392" s="1"/>
      <c r="E392" s="22"/>
      <c r="F392" s="22"/>
      <c r="G392"/>
      <c r="H392" s="22"/>
      <c r="I392" s="22"/>
      <c r="J392" s="25"/>
    </row>
    <row r="393" spans="1:10" s="61" customFormat="1" ht="18.899999999999999" customHeight="1" x14ac:dyDescent="0.35">
      <c r="A393" s="25"/>
      <c r="B393" s="1"/>
      <c r="C393" s="22"/>
      <c r="D393" s="1"/>
      <c r="E393" s="22"/>
      <c r="F393" s="22"/>
      <c r="G393"/>
      <c r="H393" s="22"/>
      <c r="I393" s="22"/>
      <c r="J393" s="25"/>
    </row>
    <row r="394" spans="1:10" s="61" customFormat="1" ht="18.899999999999999" customHeight="1" x14ac:dyDescent="0.35">
      <c r="A394" s="25"/>
      <c r="B394" s="1"/>
      <c r="C394" s="22"/>
      <c r="D394" s="1"/>
      <c r="E394" s="22"/>
      <c r="F394" s="22"/>
      <c r="G394"/>
      <c r="H394" s="22"/>
      <c r="I394" s="22"/>
      <c r="J394" s="25"/>
    </row>
    <row r="395" spans="1:10" s="61" customFormat="1" ht="18.899999999999999" customHeight="1" x14ac:dyDescent="0.35">
      <c r="A395" s="25"/>
      <c r="B395" s="1"/>
      <c r="C395" s="22"/>
      <c r="D395" s="1"/>
      <c r="E395" s="22"/>
      <c r="F395" s="22"/>
      <c r="G395"/>
      <c r="H395" s="22"/>
      <c r="I395" s="22"/>
      <c r="J395" s="25"/>
    </row>
    <row r="396" spans="1:10" s="61" customFormat="1" ht="18.899999999999999" customHeight="1" x14ac:dyDescent="0.35">
      <c r="A396" s="25"/>
      <c r="B396" s="1"/>
      <c r="C396" s="22"/>
      <c r="D396" s="1"/>
      <c r="E396" s="22"/>
      <c r="F396" s="22"/>
      <c r="G396"/>
      <c r="H396" s="22"/>
      <c r="I396" s="22"/>
      <c r="J396" s="25"/>
    </row>
    <row r="397" spans="1:10" s="61" customFormat="1" ht="18.899999999999999" customHeight="1" x14ac:dyDescent="0.35">
      <c r="A397" s="25"/>
      <c r="B397" s="1"/>
      <c r="C397" s="22"/>
      <c r="D397" s="1"/>
      <c r="E397" s="22"/>
      <c r="F397" s="22"/>
      <c r="G397"/>
      <c r="H397" s="22"/>
      <c r="I397" s="22"/>
      <c r="J397" s="25"/>
    </row>
    <row r="398" spans="1:10" s="61" customFormat="1" ht="18.899999999999999" customHeight="1" x14ac:dyDescent="0.35">
      <c r="A398" s="25"/>
      <c r="B398" s="1"/>
      <c r="C398" s="22"/>
      <c r="D398" s="1"/>
      <c r="E398" s="22"/>
      <c r="F398" s="22"/>
      <c r="G398"/>
      <c r="H398" s="22"/>
      <c r="I398" s="22"/>
      <c r="J398" s="25"/>
    </row>
    <row r="399" spans="1:10" s="61" customFormat="1" ht="18.899999999999999" customHeight="1" x14ac:dyDescent="0.35">
      <c r="A399" s="25"/>
      <c r="B399" s="1"/>
      <c r="C399" s="22"/>
      <c r="D399" s="1"/>
      <c r="E399" s="22"/>
      <c r="F399" s="22"/>
      <c r="G399"/>
      <c r="H399" s="22"/>
      <c r="I399" s="22"/>
      <c r="J399" s="25"/>
    </row>
    <row r="400" spans="1:10" s="61" customFormat="1" ht="18.899999999999999" customHeight="1" x14ac:dyDescent="0.35">
      <c r="A400" s="25"/>
      <c r="B400" s="1"/>
      <c r="C400" s="22"/>
      <c r="D400" s="1"/>
      <c r="E400" s="22"/>
      <c r="F400" s="22"/>
      <c r="G400"/>
      <c r="H400" s="22"/>
      <c r="I400" s="22"/>
      <c r="J400" s="25"/>
    </row>
    <row r="401" spans="1:10" s="61" customFormat="1" ht="18.899999999999999" customHeight="1" x14ac:dyDescent="0.35">
      <c r="A401" s="25"/>
      <c r="B401" s="1"/>
      <c r="C401" s="22"/>
      <c r="D401" s="1"/>
      <c r="E401" s="22"/>
      <c r="F401" s="22"/>
      <c r="G401"/>
      <c r="H401" s="22"/>
      <c r="I401" s="22"/>
      <c r="J401" s="25"/>
    </row>
    <row r="402" spans="1:10" s="61" customFormat="1" ht="18.899999999999999" customHeight="1" x14ac:dyDescent="0.35">
      <c r="A402" s="25"/>
      <c r="B402" s="1"/>
      <c r="C402" s="22"/>
      <c r="D402" s="1"/>
      <c r="E402" s="22"/>
      <c r="F402" s="22"/>
      <c r="G402"/>
      <c r="H402" s="22"/>
      <c r="I402" s="22"/>
      <c r="J402" s="25"/>
    </row>
    <row r="403" spans="1:10" s="61" customFormat="1" ht="18.899999999999999" customHeight="1" x14ac:dyDescent="0.35">
      <c r="A403" s="25"/>
      <c r="B403" s="1"/>
      <c r="C403" s="22"/>
      <c r="D403" s="1"/>
      <c r="E403" s="22"/>
      <c r="F403" s="22"/>
      <c r="G403"/>
      <c r="H403" s="22"/>
      <c r="I403" s="22"/>
      <c r="J403" s="25"/>
    </row>
    <row r="404" spans="1:10" s="61" customFormat="1" ht="18.899999999999999" customHeight="1" x14ac:dyDescent="0.35">
      <c r="A404" s="25"/>
      <c r="B404" s="1"/>
      <c r="C404" s="22"/>
      <c r="D404" s="1"/>
      <c r="E404" s="22"/>
      <c r="F404" s="22"/>
      <c r="G404"/>
      <c r="H404" s="22"/>
      <c r="I404" s="22"/>
      <c r="J404" s="25"/>
    </row>
    <row r="405" spans="1:10" s="61" customFormat="1" ht="18.899999999999999" customHeight="1" x14ac:dyDescent="0.35">
      <c r="A405" s="25"/>
      <c r="B405" s="1"/>
      <c r="C405" s="22"/>
      <c r="D405" s="1"/>
      <c r="E405" s="22"/>
      <c r="F405" s="22"/>
      <c r="G405"/>
      <c r="H405" s="22"/>
      <c r="I405" s="22"/>
      <c r="J405" s="25"/>
    </row>
    <row r="406" spans="1:10" s="61" customFormat="1" ht="18.899999999999999" customHeight="1" x14ac:dyDescent="0.35">
      <c r="A406" s="25"/>
      <c r="B406" s="1"/>
      <c r="C406" s="22"/>
      <c r="D406" s="1"/>
      <c r="E406" s="22"/>
      <c r="F406" s="22"/>
      <c r="G406"/>
      <c r="H406" s="22"/>
      <c r="I406" s="22"/>
      <c r="J406" s="25"/>
    </row>
    <row r="407" spans="1:10" s="61" customFormat="1" ht="18.899999999999999" customHeight="1" x14ac:dyDescent="0.35">
      <c r="A407" s="25"/>
      <c r="B407" s="1"/>
      <c r="C407" s="22"/>
      <c r="D407" s="1"/>
      <c r="E407" s="22"/>
      <c r="F407" s="22"/>
      <c r="G407"/>
      <c r="H407" s="22"/>
      <c r="I407" s="22"/>
      <c r="J407" s="25"/>
    </row>
    <row r="408" spans="1:10" s="61" customFormat="1" ht="18.899999999999999" customHeight="1" x14ac:dyDescent="0.35">
      <c r="A408" s="25"/>
      <c r="B408" s="1"/>
      <c r="C408" s="22"/>
      <c r="D408" s="1"/>
      <c r="E408" s="22"/>
      <c r="F408" s="22"/>
      <c r="G408"/>
      <c r="H408" s="22"/>
      <c r="I408" s="22"/>
      <c r="J408" s="25"/>
    </row>
    <row r="409" spans="1:10" s="61" customFormat="1" ht="18.899999999999999" customHeight="1" x14ac:dyDescent="0.35">
      <c r="A409" s="25"/>
      <c r="B409" s="1"/>
      <c r="C409" s="22"/>
      <c r="D409" s="1"/>
      <c r="E409" s="22"/>
      <c r="F409" s="22"/>
      <c r="G409"/>
      <c r="H409" s="22"/>
      <c r="I409" s="22"/>
      <c r="J409" s="25"/>
    </row>
    <row r="410" spans="1:10" s="61" customFormat="1" ht="18.899999999999999" customHeight="1" x14ac:dyDescent="0.35">
      <c r="A410" s="25"/>
      <c r="B410" s="1"/>
      <c r="C410" s="22"/>
      <c r="D410" s="1"/>
      <c r="E410" s="22"/>
      <c r="F410" s="22"/>
      <c r="G410"/>
      <c r="H410" s="22"/>
      <c r="I410" s="22"/>
      <c r="J410" s="25"/>
    </row>
    <row r="411" spans="1:10" s="61" customFormat="1" ht="18.899999999999999" customHeight="1" x14ac:dyDescent="0.35">
      <c r="A411" s="25"/>
      <c r="B411" s="1"/>
      <c r="C411" s="22"/>
      <c r="D411" s="1"/>
      <c r="E411" s="22"/>
      <c r="F411" s="22"/>
      <c r="G411"/>
      <c r="H411" s="22"/>
      <c r="I411" s="22"/>
      <c r="J411" s="25"/>
    </row>
    <row r="412" spans="1:10" s="61" customFormat="1" ht="18.899999999999999" customHeight="1" x14ac:dyDescent="0.35">
      <c r="A412" s="25"/>
      <c r="B412" s="1"/>
      <c r="C412" s="22"/>
      <c r="D412" s="1"/>
      <c r="E412" s="22"/>
      <c r="F412" s="22"/>
      <c r="G412"/>
      <c r="H412" s="22"/>
      <c r="I412" s="22"/>
      <c r="J412" s="25"/>
    </row>
    <row r="413" spans="1:10" s="61" customFormat="1" ht="18.899999999999999" customHeight="1" x14ac:dyDescent="0.35">
      <c r="A413" s="25"/>
      <c r="B413" s="1"/>
      <c r="C413" s="22"/>
      <c r="D413" s="1"/>
      <c r="E413" s="22"/>
      <c r="F413" s="22"/>
      <c r="G413"/>
      <c r="H413" s="22"/>
      <c r="I413" s="22"/>
      <c r="J413" s="25"/>
    </row>
    <row r="414" spans="1:10" s="61" customFormat="1" ht="18.899999999999999" customHeight="1" x14ac:dyDescent="0.35">
      <c r="A414" s="25"/>
      <c r="B414" s="1"/>
      <c r="C414" s="22"/>
      <c r="D414" s="1"/>
      <c r="E414" s="22"/>
      <c r="F414" s="22"/>
      <c r="G414"/>
      <c r="H414" s="22"/>
      <c r="I414" s="22"/>
      <c r="J414" s="25"/>
    </row>
    <row r="415" spans="1:10" s="61" customFormat="1" ht="18.899999999999999" customHeight="1" x14ac:dyDescent="0.35">
      <c r="A415" s="25"/>
      <c r="B415" s="1"/>
      <c r="C415" s="22"/>
      <c r="D415" s="1"/>
      <c r="E415" s="22"/>
      <c r="F415" s="22"/>
      <c r="G415"/>
      <c r="H415" s="22"/>
      <c r="I415" s="22"/>
      <c r="J415" s="25"/>
    </row>
    <row r="416" spans="1:10" s="61" customFormat="1" ht="18.899999999999999" customHeight="1" x14ac:dyDescent="0.35">
      <c r="A416" s="25"/>
      <c r="B416" s="1"/>
      <c r="C416" s="22"/>
      <c r="D416" s="1"/>
      <c r="E416" s="22"/>
      <c r="F416" s="22"/>
      <c r="G416"/>
      <c r="H416" s="22"/>
      <c r="I416" s="22"/>
      <c r="J416" s="25"/>
    </row>
    <row r="417" spans="1:10" s="61" customFormat="1" ht="18.899999999999999" customHeight="1" x14ac:dyDescent="0.35">
      <c r="A417" s="25"/>
      <c r="B417" s="1"/>
      <c r="C417" s="22"/>
      <c r="D417" s="1"/>
      <c r="E417" s="22"/>
      <c r="F417" s="22"/>
      <c r="G417"/>
      <c r="H417" s="22"/>
      <c r="I417" s="22"/>
      <c r="J417" s="25"/>
    </row>
    <row r="418" spans="1:10" s="61" customFormat="1" ht="18.899999999999999" customHeight="1" x14ac:dyDescent="0.35">
      <c r="A418" s="25"/>
      <c r="B418" s="1"/>
      <c r="C418" s="22"/>
      <c r="D418" s="1"/>
      <c r="E418" s="22"/>
      <c r="F418" s="22"/>
      <c r="G418"/>
      <c r="H418" s="22"/>
      <c r="I418" s="22"/>
      <c r="J418" s="25"/>
    </row>
    <row r="419" spans="1:10" s="61" customFormat="1" ht="18.899999999999999" customHeight="1" x14ac:dyDescent="0.35">
      <c r="A419" s="25"/>
      <c r="B419" s="1"/>
      <c r="C419" s="22"/>
      <c r="D419" s="1"/>
      <c r="E419" s="22"/>
      <c r="F419" s="22"/>
      <c r="G419"/>
      <c r="H419" s="22"/>
      <c r="I419" s="22"/>
      <c r="J419" s="25"/>
    </row>
    <row r="420" spans="1:10" s="61" customFormat="1" ht="18.899999999999999" customHeight="1" x14ac:dyDescent="0.35">
      <c r="A420" s="25"/>
      <c r="B420" s="1"/>
      <c r="C420" s="22"/>
      <c r="D420" s="1"/>
      <c r="E420" s="22"/>
      <c r="F420" s="22"/>
      <c r="G420"/>
      <c r="H420" s="22"/>
      <c r="I420" s="22"/>
      <c r="J420" s="25"/>
    </row>
    <row r="421" spans="1:10" s="61" customFormat="1" ht="18.899999999999999" customHeight="1" x14ac:dyDescent="0.35">
      <c r="A421" s="25"/>
      <c r="B421" s="1"/>
      <c r="C421" s="22"/>
      <c r="D421" s="1"/>
      <c r="E421" s="22"/>
      <c r="F421" s="22"/>
      <c r="G421"/>
      <c r="H421" s="22"/>
      <c r="I421" s="22"/>
      <c r="J421" s="25"/>
    </row>
    <row r="422" spans="1:10" s="61" customFormat="1" ht="18.899999999999999" customHeight="1" x14ac:dyDescent="0.35">
      <c r="A422" s="25"/>
      <c r="B422" s="1"/>
      <c r="C422" s="22"/>
      <c r="D422" s="1"/>
      <c r="E422" s="22"/>
      <c r="F422" s="22"/>
      <c r="G422"/>
      <c r="H422" s="22"/>
      <c r="I422" s="22"/>
      <c r="J422" s="25"/>
    </row>
    <row r="423" spans="1:10" s="61" customFormat="1" ht="18.899999999999999" customHeight="1" x14ac:dyDescent="0.35">
      <c r="A423" s="25"/>
      <c r="B423" s="1"/>
      <c r="C423" s="22"/>
      <c r="D423" s="1"/>
      <c r="E423" s="22"/>
      <c r="F423" s="22"/>
      <c r="G423"/>
      <c r="H423" s="22"/>
      <c r="I423" s="22"/>
      <c r="J423" s="25"/>
    </row>
    <row r="424" spans="1:10" s="61" customFormat="1" ht="18.899999999999999" customHeight="1" x14ac:dyDescent="0.35">
      <c r="A424" s="25"/>
      <c r="B424" s="1"/>
      <c r="C424" s="22"/>
      <c r="D424" s="1"/>
      <c r="E424" s="22"/>
      <c r="F424" s="22"/>
      <c r="G424"/>
      <c r="H424" s="22"/>
      <c r="I424" s="22"/>
      <c r="J424" s="25"/>
    </row>
    <row r="425" spans="1:10" s="61" customFormat="1" ht="18.899999999999999" customHeight="1" x14ac:dyDescent="0.35">
      <c r="A425" s="25"/>
      <c r="B425" s="1"/>
      <c r="C425" s="22"/>
      <c r="D425" s="1"/>
      <c r="E425" s="22"/>
      <c r="F425" s="22"/>
      <c r="G425"/>
      <c r="H425" s="22"/>
      <c r="I425" s="22"/>
      <c r="J425" s="25"/>
    </row>
    <row r="426" spans="1:10" s="61" customFormat="1" ht="18.899999999999999" customHeight="1" x14ac:dyDescent="0.35">
      <c r="A426" s="25"/>
      <c r="B426" s="1"/>
      <c r="C426" s="22"/>
      <c r="D426" s="1"/>
      <c r="E426" s="22"/>
      <c r="F426" s="22"/>
      <c r="G426"/>
      <c r="H426" s="22"/>
      <c r="I426" s="22"/>
      <c r="J426" s="25"/>
    </row>
    <row r="427" spans="1:10" s="61" customFormat="1" ht="18.899999999999999" customHeight="1" x14ac:dyDescent="0.35">
      <c r="A427" s="25"/>
      <c r="B427" s="1"/>
      <c r="C427" s="22"/>
      <c r="D427" s="1"/>
      <c r="E427" s="22"/>
      <c r="F427" s="22"/>
      <c r="G427"/>
      <c r="H427" s="22"/>
      <c r="I427" s="22"/>
      <c r="J427" s="25"/>
    </row>
    <row r="428" spans="1:10" s="61" customFormat="1" ht="18.899999999999999" customHeight="1" x14ac:dyDescent="0.35">
      <c r="A428" s="25"/>
      <c r="B428" s="1"/>
      <c r="C428" s="22"/>
      <c r="D428" s="1"/>
      <c r="E428" s="22"/>
      <c r="F428" s="22"/>
      <c r="G428"/>
      <c r="H428" s="22"/>
      <c r="I428" s="22"/>
      <c r="J428" s="25"/>
    </row>
    <row r="429" spans="1:10" s="61" customFormat="1" ht="18.899999999999999" customHeight="1" x14ac:dyDescent="0.35">
      <c r="A429" s="25"/>
      <c r="B429" s="1"/>
      <c r="C429" s="22"/>
      <c r="D429" s="1"/>
      <c r="E429" s="22"/>
      <c r="F429" s="22"/>
      <c r="G429"/>
      <c r="H429" s="22"/>
      <c r="I429" s="22"/>
      <c r="J429" s="25"/>
    </row>
    <row r="430" spans="1:10" s="61" customFormat="1" ht="18.899999999999999" customHeight="1" x14ac:dyDescent="0.35">
      <c r="A430" s="25"/>
      <c r="B430" s="1"/>
      <c r="C430" s="22"/>
      <c r="D430" s="1"/>
      <c r="E430" s="22"/>
      <c r="F430" s="22"/>
      <c r="G430"/>
      <c r="H430" s="22"/>
      <c r="I430" s="22"/>
      <c r="J430" s="25"/>
    </row>
    <row r="431" spans="1:10" s="61" customFormat="1" ht="18.899999999999999" customHeight="1" x14ac:dyDescent="0.35">
      <c r="A431" s="25"/>
      <c r="B431" s="1"/>
      <c r="C431" s="22"/>
      <c r="D431" s="1"/>
      <c r="E431" s="22"/>
      <c r="F431" s="22"/>
      <c r="G431"/>
      <c r="H431" s="22"/>
      <c r="I431" s="22"/>
      <c r="J431" s="25"/>
    </row>
    <row r="432" spans="1:10" s="61" customFormat="1" ht="18.899999999999999" customHeight="1" x14ac:dyDescent="0.35">
      <c r="A432" s="25"/>
      <c r="B432" s="1"/>
      <c r="C432" s="22"/>
      <c r="D432" s="1"/>
      <c r="E432" s="22"/>
      <c r="F432" s="22"/>
      <c r="G432"/>
      <c r="H432" s="22"/>
      <c r="I432" s="22"/>
      <c r="J432" s="25"/>
    </row>
    <row r="433" spans="1:10" s="61" customFormat="1" ht="18.899999999999999" customHeight="1" x14ac:dyDescent="0.35">
      <c r="A433" s="25"/>
      <c r="B433" s="1"/>
      <c r="C433" s="22"/>
      <c r="D433" s="1"/>
      <c r="E433" s="22"/>
      <c r="F433" s="22"/>
      <c r="G433"/>
      <c r="H433" s="22"/>
      <c r="I433" s="22"/>
      <c r="J433" s="25"/>
    </row>
    <row r="434" spans="1:10" s="61" customFormat="1" ht="18.899999999999999" customHeight="1" x14ac:dyDescent="0.35">
      <c r="A434" s="25"/>
      <c r="B434" s="1"/>
      <c r="C434" s="22"/>
      <c r="D434" s="1"/>
      <c r="E434" s="22"/>
      <c r="F434" s="22"/>
      <c r="G434"/>
      <c r="H434" s="22"/>
      <c r="I434" s="22"/>
      <c r="J434" s="25"/>
    </row>
    <row r="435" spans="1:10" s="61" customFormat="1" ht="18.899999999999999" customHeight="1" x14ac:dyDescent="0.35">
      <c r="A435" s="25"/>
      <c r="B435" s="1"/>
      <c r="C435" s="22"/>
      <c r="D435" s="1"/>
      <c r="E435" s="22"/>
      <c r="F435" s="22"/>
      <c r="G435"/>
      <c r="H435" s="22"/>
      <c r="I435" s="22"/>
      <c r="J435" s="25"/>
    </row>
    <row r="436" spans="1:10" s="61" customFormat="1" ht="18.899999999999999" customHeight="1" x14ac:dyDescent="0.35">
      <c r="A436" s="25"/>
      <c r="B436" s="1"/>
      <c r="C436" s="22"/>
      <c r="D436" s="1"/>
      <c r="E436" s="22"/>
      <c r="F436" s="22"/>
      <c r="G436"/>
      <c r="H436" s="22"/>
      <c r="I436" s="22"/>
      <c r="J436" s="25"/>
    </row>
    <row r="437" spans="1:10" s="61" customFormat="1" ht="18.899999999999999" customHeight="1" x14ac:dyDescent="0.35">
      <c r="A437" s="25"/>
      <c r="B437" s="1"/>
      <c r="C437" s="22"/>
      <c r="D437" s="1"/>
      <c r="E437" s="22"/>
      <c r="F437" s="22"/>
      <c r="G437"/>
      <c r="H437" s="22"/>
      <c r="I437" s="22"/>
      <c r="J437" s="25"/>
    </row>
    <row r="438" spans="1:10" s="61" customFormat="1" ht="18.899999999999999" customHeight="1" x14ac:dyDescent="0.35">
      <c r="A438" s="25"/>
      <c r="B438" s="1"/>
      <c r="C438" s="22"/>
      <c r="D438" s="1"/>
      <c r="E438" s="22"/>
      <c r="F438" s="22"/>
      <c r="G438"/>
      <c r="H438" s="22"/>
      <c r="I438" s="22"/>
      <c r="J438" s="25"/>
    </row>
    <row r="439" spans="1:10" s="61" customFormat="1" ht="18.899999999999999" customHeight="1" x14ac:dyDescent="0.35">
      <c r="A439" s="25"/>
      <c r="B439" s="1"/>
      <c r="C439" s="22"/>
      <c r="D439" s="1"/>
      <c r="E439" s="22"/>
      <c r="F439" s="22"/>
      <c r="G439"/>
      <c r="H439" s="22"/>
      <c r="I439" s="22"/>
      <c r="J439" s="25"/>
    </row>
    <row r="440" spans="1:10" s="61" customFormat="1" ht="18.899999999999999" customHeight="1" x14ac:dyDescent="0.35">
      <c r="A440" s="25"/>
      <c r="B440" s="1"/>
      <c r="C440" s="22"/>
      <c r="D440" s="1"/>
      <c r="E440" s="22"/>
      <c r="F440" s="22"/>
      <c r="G440"/>
      <c r="H440" s="22"/>
      <c r="I440" s="22"/>
      <c r="J440" s="25"/>
    </row>
    <row r="441" spans="1:10" s="61" customFormat="1" ht="18.899999999999999" customHeight="1" x14ac:dyDescent="0.35">
      <c r="A441" s="25"/>
      <c r="B441" s="1"/>
      <c r="C441" s="22"/>
      <c r="D441" s="1"/>
      <c r="E441" s="22"/>
      <c r="F441" s="22"/>
      <c r="G441"/>
      <c r="H441" s="22"/>
      <c r="I441" s="22"/>
      <c r="J441" s="25"/>
    </row>
    <row r="442" spans="1:10" s="61" customFormat="1" ht="18.899999999999999" customHeight="1" x14ac:dyDescent="0.35">
      <c r="A442" s="25"/>
      <c r="B442" s="1"/>
      <c r="C442" s="22"/>
      <c r="D442" s="1"/>
      <c r="E442" s="22"/>
      <c r="F442" s="22"/>
      <c r="G442"/>
      <c r="H442" s="22"/>
      <c r="I442" s="22"/>
      <c r="J442" s="25"/>
    </row>
    <row r="443" spans="1:10" s="61" customFormat="1" ht="18.899999999999999" customHeight="1" x14ac:dyDescent="0.35">
      <c r="A443" s="25"/>
      <c r="B443" s="1"/>
      <c r="C443" s="22"/>
      <c r="D443" s="1"/>
      <c r="E443" s="22"/>
      <c r="F443" s="22"/>
      <c r="G443"/>
      <c r="H443" s="22"/>
      <c r="I443" s="22"/>
      <c r="J443" s="25"/>
    </row>
    <row r="444" spans="1:10" s="61" customFormat="1" ht="18.899999999999999" customHeight="1" x14ac:dyDescent="0.35">
      <c r="A444" s="25"/>
      <c r="B444" s="1"/>
      <c r="C444" s="22"/>
      <c r="D444" s="1"/>
      <c r="E444" s="22"/>
      <c r="F444" s="22"/>
      <c r="G444"/>
      <c r="H444" s="22"/>
      <c r="I444" s="22"/>
      <c r="J444" s="25"/>
    </row>
    <row r="445" spans="1:10" s="61" customFormat="1" ht="18.899999999999999" customHeight="1" x14ac:dyDescent="0.35">
      <c r="A445" s="25"/>
      <c r="B445" s="1"/>
      <c r="C445" s="22"/>
      <c r="D445" s="1"/>
      <c r="E445" s="22"/>
      <c r="F445" s="22"/>
      <c r="G445"/>
      <c r="H445" s="22"/>
      <c r="I445" s="22"/>
      <c r="J445" s="25"/>
    </row>
    <row r="446" spans="1:10" s="61" customFormat="1" ht="18.899999999999999" customHeight="1" x14ac:dyDescent="0.35">
      <c r="A446" s="25"/>
      <c r="B446" s="1"/>
      <c r="C446" s="22"/>
      <c r="D446" s="1"/>
      <c r="E446" s="22"/>
      <c r="F446" s="22"/>
      <c r="G446"/>
      <c r="H446" s="22"/>
      <c r="I446" s="22"/>
      <c r="J446" s="25"/>
    </row>
    <row r="447" spans="1:10" s="61" customFormat="1" ht="18.899999999999999" customHeight="1" x14ac:dyDescent="0.35">
      <c r="A447" s="25"/>
      <c r="B447" s="1"/>
      <c r="C447" s="22"/>
      <c r="D447" s="1"/>
      <c r="E447" s="22"/>
      <c r="F447" s="22"/>
      <c r="G447"/>
      <c r="H447" s="22"/>
      <c r="I447" s="22"/>
      <c r="J447" s="25"/>
    </row>
    <row r="448" spans="1:10" s="61" customFormat="1" ht="18.899999999999999" customHeight="1" x14ac:dyDescent="0.35">
      <c r="A448" s="25"/>
      <c r="B448" s="1"/>
      <c r="C448" s="22"/>
      <c r="D448" s="1"/>
      <c r="E448" s="22"/>
      <c r="F448" s="22"/>
      <c r="G448"/>
      <c r="H448" s="22"/>
      <c r="I448" s="22"/>
      <c r="J448" s="25"/>
    </row>
    <row r="449" spans="1:10" s="61" customFormat="1" ht="18.899999999999999" customHeight="1" x14ac:dyDescent="0.35">
      <c r="A449" s="25"/>
      <c r="B449" s="1"/>
      <c r="C449" s="22"/>
      <c r="D449" s="1"/>
      <c r="E449" s="22"/>
      <c r="F449" s="22"/>
      <c r="G449"/>
      <c r="H449" s="22"/>
      <c r="I449" s="22"/>
      <c r="J449" s="25"/>
    </row>
    <row r="450" spans="1:10" s="61" customFormat="1" ht="18.899999999999999" customHeight="1" x14ac:dyDescent="0.35">
      <c r="A450" s="25"/>
      <c r="B450" s="1"/>
      <c r="C450" s="22"/>
      <c r="D450" s="1"/>
      <c r="E450" s="22"/>
      <c r="F450" s="22"/>
      <c r="G450"/>
      <c r="H450" s="22"/>
      <c r="I450" s="22"/>
      <c r="J450" s="25"/>
    </row>
    <row r="451" spans="1:10" s="61" customFormat="1" ht="18.899999999999999" customHeight="1" x14ac:dyDescent="0.35">
      <c r="A451" s="25"/>
      <c r="B451" s="1"/>
      <c r="C451" s="22"/>
      <c r="D451" s="1"/>
      <c r="E451" s="22"/>
      <c r="F451" s="22"/>
      <c r="G451"/>
      <c r="H451" s="22"/>
      <c r="I451" s="22"/>
      <c r="J451" s="25"/>
    </row>
    <row r="452" spans="1:10" s="61" customFormat="1" ht="18.899999999999999" customHeight="1" x14ac:dyDescent="0.35">
      <c r="A452" s="25"/>
      <c r="B452" s="1"/>
      <c r="C452" s="22"/>
      <c r="D452" s="1"/>
      <c r="E452" s="22"/>
      <c r="F452" s="22"/>
      <c r="G452"/>
      <c r="H452" s="22"/>
      <c r="I452" s="22"/>
      <c r="J452" s="25"/>
    </row>
    <row r="453" spans="1:10" s="61" customFormat="1" ht="18.899999999999999" customHeight="1" x14ac:dyDescent="0.35">
      <c r="A453" s="25"/>
      <c r="B453" s="1"/>
      <c r="C453" s="22"/>
      <c r="D453" s="1"/>
      <c r="E453" s="22"/>
      <c r="F453" s="22"/>
      <c r="G453"/>
      <c r="H453" s="22"/>
      <c r="I453" s="22"/>
      <c r="J453" s="25"/>
    </row>
    <row r="454" spans="1:10" s="61" customFormat="1" ht="18.899999999999999" customHeight="1" x14ac:dyDescent="0.35">
      <c r="A454" s="25"/>
      <c r="B454" s="1"/>
      <c r="C454" s="22"/>
      <c r="D454" s="1"/>
      <c r="E454" s="22"/>
      <c r="F454" s="22"/>
      <c r="G454"/>
      <c r="H454" s="22"/>
      <c r="I454" s="22"/>
      <c r="J454" s="25"/>
    </row>
    <row r="455" spans="1:10" s="61" customFormat="1" ht="18.899999999999999" customHeight="1" x14ac:dyDescent="0.35">
      <c r="A455" s="25"/>
      <c r="B455" s="1"/>
      <c r="C455" s="22"/>
      <c r="D455" s="1"/>
      <c r="E455" s="22"/>
      <c r="F455" s="22"/>
      <c r="G455"/>
      <c r="H455" s="22"/>
      <c r="I455" s="22"/>
      <c r="J455" s="25"/>
    </row>
    <row r="456" spans="1:10" s="61" customFormat="1" ht="18.899999999999999" customHeight="1" x14ac:dyDescent="0.35">
      <c r="A456" s="25"/>
      <c r="B456" s="1"/>
      <c r="C456" s="22"/>
      <c r="D456" s="1"/>
      <c r="E456" s="22"/>
      <c r="F456" s="22"/>
      <c r="G456"/>
      <c r="H456" s="22"/>
      <c r="I456" s="22"/>
      <c r="J456" s="25"/>
    </row>
    <row r="457" spans="1:10" s="61" customFormat="1" ht="18.899999999999999" customHeight="1" x14ac:dyDescent="0.35">
      <c r="A457" s="25"/>
      <c r="B457" s="1"/>
      <c r="C457" s="22"/>
      <c r="D457" s="1"/>
      <c r="E457" s="22"/>
      <c r="F457" s="22"/>
      <c r="G457"/>
      <c r="H457" s="22"/>
      <c r="I457" s="22"/>
      <c r="J457" s="25"/>
    </row>
    <row r="458" spans="1:10" s="61" customFormat="1" ht="18.899999999999999" customHeight="1" x14ac:dyDescent="0.35">
      <c r="A458" s="25"/>
      <c r="B458" s="1"/>
      <c r="C458" s="22"/>
      <c r="D458" s="1"/>
      <c r="E458" s="22"/>
      <c r="F458" s="22"/>
      <c r="G458"/>
      <c r="H458" s="22"/>
      <c r="I458" s="22"/>
      <c r="J458" s="25"/>
    </row>
    <row r="459" spans="1:10" s="61" customFormat="1" ht="18.899999999999999" customHeight="1" x14ac:dyDescent="0.35">
      <c r="A459" s="25"/>
      <c r="B459" s="1"/>
      <c r="C459" s="22"/>
      <c r="D459" s="1"/>
      <c r="E459" s="22"/>
      <c r="F459" s="22"/>
      <c r="G459"/>
      <c r="H459" s="22"/>
      <c r="I459" s="22"/>
      <c r="J459" s="25"/>
    </row>
    <row r="460" spans="1:10" s="61" customFormat="1" ht="18.899999999999999" customHeight="1" x14ac:dyDescent="0.35">
      <c r="A460" s="25"/>
      <c r="B460" s="1"/>
      <c r="C460" s="22"/>
      <c r="D460" s="1"/>
      <c r="E460" s="22"/>
      <c r="F460" s="22"/>
      <c r="G460"/>
      <c r="H460" s="22"/>
      <c r="I460" s="22"/>
      <c r="J460" s="25"/>
    </row>
    <row r="461" spans="1:10" s="61" customFormat="1" ht="18.899999999999999" customHeight="1" x14ac:dyDescent="0.35">
      <c r="A461" s="25"/>
      <c r="B461" s="1"/>
      <c r="C461" s="22"/>
      <c r="D461" s="1"/>
      <c r="E461" s="22"/>
      <c r="F461" s="22"/>
      <c r="G461"/>
      <c r="H461" s="22"/>
      <c r="I461" s="22"/>
      <c r="J461" s="25"/>
    </row>
    <row r="462" spans="1:10" s="61" customFormat="1" ht="18.899999999999999" customHeight="1" x14ac:dyDescent="0.35">
      <c r="A462" s="25"/>
      <c r="B462" s="1"/>
      <c r="C462" s="22"/>
      <c r="D462" s="1"/>
      <c r="E462" s="22"/>
      <c r="F462" s="22"/>
      <c r="G462"/>
      <c r="H462" s="22"/>
      <c r="I462" s="22"/>
      <c r="J462" s="25"/>
    </row>
    <row r="463" spans="1:10" s="61" customFormat="1" ht="18.899999999999999" customHeight="1" x14ac:dyDescent="0.35">
      <c r="A463" s="25"/>
      <c r="B463" s="1"/>
      <c r="C463" s="22"/>
      <c r="D463" s="1"/>
      <c r="E463" s="22"/>
      <c r="F463" s="22"/>
      <c r="G463"/>
      <c r="H463" s="22"/>
      <c r="I463" s="22"/>
      <c r="J463" s="25"/>
    </row>
    <row r="464" spans="1:10" s="61" customFormat="1" ht="18.899999999999999" customHeight="1" x14ac:dyDescent="0.35">
      <c r="A464" s="25"/>
      <c r="B464" s="1"/>
      <c r="C464" s="22"/>
      <c r="D464" s="1"/>
      <c r="E464" s="22"/>
      <c r="F464" s="22"/>
      <c r="G464"/>
      <c r="H464" s="22"/>
      <c r="I464" s="22"/>
      <c r="J464" s="25"/>
    </row>
    <row r="465" spans="1:10" s="61" customFormat="1" ht="18.899999999999999" customHeight="1" x14ac:dyDescent="0.35">
      <c r="A465" s="25"/>
      <c r="B465" s="1"/>
      <c r="C465" s="22"/>
      <c r="D465" s="1"/>
      <c r="E465" s="22"/>
      <c r="F465" s="22"/>
      <c r="G465"/>
      <c r="H465" s="22"/>
      <c r="I465" s="22"/>
      <c r="J465" s="25"/>
    </row>
    <row r="466" spans="1:10" s="61" customFormat="1" ht="18.899999999999999" customHeight="1" x14ac:dyDescent="0.35">
      <c r="A466" s="25"/>
      <c r="B466" s="1"/>
      <c r="C466" s="22"/>
      <c r="D466" s="1"/>
      <c r="E466" s="22"/>
      <c r="F466" s="22"/>
      <c r="G466"/>
      <c r="H466" s="22"/>
      <c r="I466" s="22"/>
      <c r="J466" s="25"/>
    </row>
    <row r="467" spans="1:10" s="61" customFormat="1" ht="18.899999999999999" customHeight="1" x14ac:dyDescent="0.35">
      <c r="A467" s="25"/>
      <c r="B467" s="1"/>
      <c r="C467" s="22"/>
      <c r="D467" s="1"/>
      <c r="E467" s="22"/>
      <c r="F467" s="22"/>
      <c r="G467"/>
      <c r="H467" s="22"/>
      <c r="I467" s="22"/>
      <c r="J467" s="25"/>
    </row>
    <row r="468" spans="1:10" s="61" customFormat="1" ht="18.899999999999999" customHeight="1" x14ac:dyDescent="0.35">
      <c r="A468" s="25"/>
      <c r="B468" s="1"/>
      <c r="C468" s="22"/>
      <c r="D468" s="1"/>
      <c r="E468" s="22"/>
      <c r="F468" s="22"/>
      <c r="G468"/>
      <c r="H468" s="22"/>
      <c r="I468" s="22"/>
      <c r="J468" s="25"/>
    </row>
    <row r="469" spans="1:10" s="61" customFormat="1" ht="18.899999999999999" customHeight="1" x14ac:dyDescent="0.35">
      <c r="A469" s="25"/>
      <c r="B469" s="1"/>
      <c r="C469" s="22"/>
      <c r="D469" s="1"/>
      <c r="E469" s="22"/>
      <c r="F469" s="22"/>
      <c r="G469"/>
      <c r="H469" s="22"/>
      <c r="I469" s="22"/>
      <c r="J469" s="25"/>
    </row>
    <row r="470" spans="1:10" s="61" customFormat="1" ht="18.899999999999999" customHeight="1" x14ac:dyDescent="0.35">
      <c r="A470" s="25"/>
      <c r="B470" s="1"/>
      <c r="C470" s="22"/>
      <c r="D470" s="1"/>
      <c r="E470" s="22"/>
      <c r="F470" s="22"/>
      <c r="G470"/>
      <c r="H470" s="22"/>
      <c r="I470" s="22"/>
      <c r="J470" s="25"/>
    </row>
    <row r="471" spans="1:10" s="61" customFormat="1" ht="18.899999999999999" customHeight="1" x14ac:dyDescent="0.35">
      <c r="A471" s="25"/>
      <c r="B471" s="1"/>
      <c r="C471" s="22"/>
      <c r="D471" s="1"/>
      <c r="E471" s="22"/>
      <c r="F471" s="22"/>
      <c r="G471"/>
      <c r="H471" s="22"/>
      <c r="I471" s="22"/>
      <c r="J471" s="25"/>
    </row>
    <row r="472" spans="1:10" s="61" customFormat="1" ht="18.899999999999999" customHeight="1" x14ac:dyDescent="0.35">
      <c r="A472" s="25"/>
      <c r="B472" s="1"/>
      <c r="C472" s="22"/>
      <c r="D472" s="1"/>
      <c r="E472" s="22"/>
      <c r="F472" s="22"/>
      <c r="G472"/>
      <c r="H472" s="22"/>
      <c r="I472" s="22"/>
      <c r="J472" s="25"/>
    </row>
    <row r="473" spans="1:10" s="61" customFormat="1" ht="18.899999999999999" customHeight="1" x14ac:dyDescent="0.35">
      <c r="A473" s="25"/>
      <c r="B473" s="1"/>
      <c r="C473" s="22"/>
      <c r="D473" s="1"/>
      <c r="E473" s="22"/>
      <c r="F473" s="22"/>
      <c r="G473"/>
      <c r="H473" s="22"/>
      <c r="I473" s="22"/>
      <c r="J473" s="25"/>
    </row>
    <row r="474" spans="1:10" s="61" customFormat="1" ht="18.899999999999999" customHeight="1" x14ac:dyDescent="0.35">
      <c r="A474" s="25"/>
      <c r="B474" s="1"/>
      <c r="C474" s="22"/>
      <c r="D474" s="1"/>
      <c r="E474" s="22"/>
      <c r="F474" s="22"/>
      <c r="G474"/>
      <c r="H474" s="22"/>
      <c r="I474" s="22"/>
      <c r="J474" s="25"/>
    </row>
    <row r="475" spans="1:10" s="61" customFormat="1" ht="18.899999999999999" customHeight="1" x14ac:dyDescent="0.35">
      <c r="A475" s="25"/>
      <c r="B475" s="1"/>
      <c r="C475" s="22"/>
      <c r="D475" s="1"/>
      <c r="E475" s="22"/>
      <c r="F475" s="22"/>
      <c r="G475"/>
      <c r="H475" s="22"/>
      <c r="I475" s="22"/>
      <c r="J475" s="25"/>
    </row>
    <row r="476" spans="1:10" s="61" customFormat="1" ht="18.899999999999999" customHeight="1" x14ac:dyDescent="0.35">
      <c r="A476" s="25"/>
      <c r="B476" s="1"/>
      <c r="C476" s="22"/>
      <c r="D476" s="1"/>
      <c r="E476" s="22"/>
      <c r="F476" s="22"/>
      <c r="G476"/>
      <c r="H476" s="22"/>
      <c r="I476" s="22"/>
      <c r="J476" s="25"/>
    </row>
    <row r="477" spans="1:10" s="61" customFormat="1" ht="18.899999999999999" customHeight="1" x14ac:dyDescent="0.35">
      <c r="A477" s="25"/>
      <c r="B477" s="1"/>
      <c r="C477" s="22"/>
      <c r="D477" s="1"/>
      <c r="E477" s="22"/>
      <c r="F477" s="22"/>
      <c r="G477"/>
      <c r="H477" s="22"/>
      <c r="I477" s="22"/>
      <c r="J477" s="25"/>
    </row>
    <row r="478" spans="1:10" s="61" customFormat="1" ht="18.899999999999999" customHeight="1" x14ac:dyDescent="0.35">
      <c r="A478" s="25"/>
      <c r="B478" s="1"/>
      <c r="C478" s="22"/>
      <c r="D478" s="1"/>
      <c r="E478" s="22"/>
      <c r="F478" s="22"/>
      <c r="G478"/>
      <c r="H478" s="22"/>
      <c r="I478" s="22"/>
      <c r="J478" s="25"/>
    </row>
    <row r="479" spans="1:10" s="61" customFormat="1" ht="18.899999999999999" customHeight="1" x14ac:dyDescent="0.35">
      <c r="A479" s="25"/>
      <c r="B479" s="1"/>
      <c r="C479" s="22"/>
      <c r="D479" s="1"/>
      <c r="E479" s="22"/>
      <c r="F479" s="22"/>
      <c r="G479"/>
      <c r="H479" s="22"/>
      <c r="I479" s="22"/>
      <c r="J479" s="25"/>
    </row>
    <row r="480" spans="1:10" s="61" customFormat="1" ht="18.899999999999999" customHeight="1" x14ac:dyDescent="0.35">
      <c r="A480" s="25"/>
      <c r="B480" s="1"/>
      <c r="C480" s="22"/>
      <c r="D480" s="1"/>
      <c r="E480" s="22"/>
      <c r="F480" s="22"/>
      <c r="G480"/>
      <c r="H480" s="22"/>
      <c r="I480" s="22"/>
      <c r="J480" s="25"/>
    </row>
    <row r="481" spans="1:10" s="61" customFormat="1" ht="18.899999999999999" customHeight="1" x14ac:dyDescent="0.35">
      <c r="A481" s="25"/>
      <c r="B481" s="1"/>
      <c r="C481" s="22"/>
      <c r="D481" s="1"/>
      <c r="E481" s="22"/>
      <c r="F481" s="22"/>
      <c r="G481"/>
      <c r="H481" s="22"/>
      <c r="I481" s="22"/>
      <c r="J481" s="25"/>
    </row>
    <row r="482" spans="1:10" s="61" customFormat="1" ht="18.899999999999999" customHeight="1" x14ac:dyDescent="0.35">
      <c r="A482" s="25"/>
      <c r="B482" s="1"/>
      <c r="C482" s="22"/>
      <c r="D482" s="1"/>
      <c r="E482" s="22"/>
      <c r="F482" s="22"/>
      <c r="G482"/>
      <c r="H482" s="22"/>
      <c r="I482" s="22"/>
      <c r="J482" s="25"/>
    </row>
    <row r="483" spans="1:10" s="61" customFormat="1" ht="18.899999999999999" customHeight="1" x14ac:dyDescent="0.35">
      <c r="A483" s="25"/>
      <c r="B483" s="1"/>
      <c r="C483" s="22"/>
      <c r="D483" s="1"/>
      <c r="E483" s="22"/>
      <c r="F483" s="22"/>
      <c r="G483"/>
      <c r="H483" s="22"/>
      <c r="I483" s="22"/>
      <c r="J483" s="25"/>
    </row>
    <row r="484" spans="1:10" s="61" customFormat="1" ht="18.899999999999999" customHeight="1" x14ac:dyDescent="0.35">
      <c r="A484" s="25"/>
      <c r="B484" s="1"/>
      <c r="C484" s="22"/>
      <c r="D484" s="1"/>
      <c r="E484" s="22"/>
      <c r="F484" s="22"/>
      <c r="G484"/>
      <c r="H484" s="22"/>
      <c r="I484" s="22"/>
      <c r="J484" s="25"/>
    </row>
    <row r="485" spans="1:10" s="61" customFormat="1" ht="18.899999999999999" customHeight="1" x14ac:dyDescent="0.35">
      <c r="A485" s="25"/>
      <c r="B485" s="1"/>
      <c r="C485" s="22"/>
      <c r="D485" s="1"/>
      <c r="E485" s="22"/>
      <c r="F485" s="22"/>
      <c r="G485"/>
      <c r="H485" s="22"/>
      <c r="I485" s="22"/>
      <c r="J485" s="25"/>
    </row>
    <row r="486" spans="1:10" s="61" customFormat="1" ht="18.899999999999999" customHeight="1" x14ac:dyDescent="0.35">
      <c r="A486" s="25"/>
      <c r="B486" s="1"/>
      <c r="C486" s="22"/>
      <c r="D486" s="1"/>
      <c r="E486" s="22"/>
      <c r="F486" s="22"/>
      <c r="G486"/>
      <c r="H486" s="22"/>
      <c r="I486" s="22"/>
      <c r="J486" s="25"/>
    </row>
    <row r="487" spans="1:10" s="61" customFormat="1" ht="18.899999999999999" customHeight="1" x14ac:dyDescent="0.35">
      <c r="A487" s="25"/>
      <c r="B487" s="1"/>
      <c r="C487" s="22"/>
      <c r="D487" s="1"/>
      <c r="E487" s="22"/>
      <c r="F487" s="22"/>
      <c r="G487"/>
      <c r="H487" s="22"/>
      <c r="I487" s="22"/>
      <c r="J487" s="25"/>
    </row>
    <row r="488" spans="1:10" s="61" customFormat="1" ht="18.899999999999999" customHeight="1" x14ac:dyDescent="0.35">
      <c r="A488" s="25"/>
      <c r="B488" s="1"/>
      <c r="C488" s="22"/>
      <c r="D488" s="1"/>
      <c r="E488" s="22"/>
      <c r="F488" s="22"/>
      <c r="G488"/>
      <c r="H488" s="22"/>
      <c r="I488" s="22"/>
      <c r="J488" s="25"/>
    </row>
    <row r="489" spans="1:10" s="61" customFormat="1" ht="18.899999999999999" customHeight="1" x14ac:dyDescent="0.35">
      <c r="A489" s="25"/>
      <c r="B489" s="1"/>
      <c r="C489" s="22"/>
      <c r="D489" s="1"/>
      <c r="E489" s="22"/>
      <c r="F489" s="22"/>
      <c r="G489"/>
      <c r="H489" s="22"/>
      <c r="I489" s="22"/>
      <c r="J489" s="25"/>
    </row>
    <row r="490" spans="1:10" s="61" customFormat="1" ht="18.899999999999999" customHeight="1" x14ac:dyDescent="0.35">
      <c r="A490" s="25"/>
      <c r="B490" s="1"/>
      <c r="C490" s="22"/>
      <c r="D490" s="1"/>
      <c r="E490" s="22"/>
      <c r="F490" s="22"/>
      <c r="G490"/>
      <c r="H490" s="22"/>
      <c r="I490" s="22"/>
      <c r="J490" s="25"/>
    </row>
    <row r="491" spans="1:10" s="61" customFormat="1" ht="18.899999999999999" customHeight="1" x14ac:dyDescent="0.35">
      <c r="A491" s="25"/>
      <c r="B491" s="1"/>
      <c r="C491" s="22"/>
      <c r="D491" s="1"/>
      <c r="E491" s="22"/>
      <c r="F491" s="22"/>
      <c r="G491"/>
      <c r="H491" s="22"/>
      <c r="I491" s="22"/>
      <c r="J491" s="25"/>
    </row>
    <row r="492" spans="1:10" s="61" customFormat="1" ht="18.899999999999999" customHeight="1" x14ac:dyDescent="0.35">
      <c r="A492" s="25"/>
      <c r="B492" s="1"/>
      <c r="C492" s="22"/>
      <c r="D492" s="1"/>
      <c r="E492" s="22"/>
      <c r="F492" s="22"/>
      <c r="G492"/>
      <c r="H492" s="22"/>
      <c r="I492" s="22"/>
      <c r="J492" s="25"/>
    </row>
    <row r="493" spans="1:10" s="61" customFormat="1" ht="18.899999999999999" customHeight="1" x14ac:dyDescent="0.35">
      <c r="A493" s="25"/>
      <c r="B493" s="1"/>
      <c r="C493" s="22"/>
      <c r="D493" s="1"/>
      <c r="E493" s="22"/>
      <c r="F493" s="22"/>
      <c r="G493"/>
      <c r="H493" s="22"/>
      <c r="I493" s="22"/>
      <c r="J493" s="25"/>
    </row>
    <row r="494" spans="1:10" s="61" customFormat="1" ht="18.899999999999999" customHeight="1" x14ac:dyDescent="0.35">
      <c r="A494" s="25"/>
      <c r="B494" s="1"/>
      <c r="C494" s="22"/>
      <c r="D494" s="1"/>
      <c r="E494" s="22"/>
      <c r="F494" s="22"/>
      <c r="G494"/>
      <c r="H494" s="22"/>
      <c r="I494" s="22"/>
      <c r="J494" s="25"/>
    </row>
    <row r="495" spans="1:10" s="61" customFormat="1" ht="18.899999999999999" customHeight="1" x14ac:dyDescent="0.35">
      <c r="A495" s="25"/>
      <c r="B495" s="1"/>
      <c r="C495" s="22"/>
      <c r="D495" s="1"/>
      <c r="E495" s="22"/>
      <c r="F495" s="22"/>
      <c r="G495"/>
      <c r="H495" s="22"/>
      <c r="I495" s="22"/>
      <c r="J495" s="25"/>
    </row>
    <row r="496" spans="1:10" s="61" customFormat="1" ht="18.899999999999999" customHeight="1" x14ac:dyDescent="0.35">
      <c r="A496" s="25"/>
      <c r="B496" s="1"/>
      <c r="C496" s="22"/>
      <c r="D496" s="1"/>
      <c r="E496" s="22"/>
      <c r="F496" s="22"/>
      <c r="G496"/>
      <c r="H496" s="22"/>
      <c r="I496" s="22"/>
      <c r="J496" s="25"/>
    </row>
    <row r="497" spans="1:10" s="61" customFormat="1" ht="18.899999999999999" customHeight="1" x14ac:dyDescent="0.35">
      <c r="A497" s="25"/>
      <c r="B497" s="1"/>
      <c r="C497" s="22"/>
      <c r="D497" s="1"/>
      <c r="E497" s="22"/>
      <c r="F497" s="22"/>
      <c r="G497"/>
      <c r="H497" s="22"/>
      <c r="I497" s="22"/>
      <c r="J497" s="25"/>
    </row>
    <row r="498" spans="1:10" s="61" customFormat="1" ht="18.899999999999999" customHeight="1" x14ac:dyDescent="0.35">
      <c r="A498" s="25"/>
      <c r="B498" s="1"/>
      <c r="C498" s="22"/>
      <c r="D498" s="1"/>
      <c r="E498" s="22"/>
      <c r="F498" s="22"/>
      <c r="G498"/>
      <c r="H498" s="22"/>
      <c r="I498" s="22"/>
      <c r="J498" s="25"/>
    </row>
    <row r="499" spans="1:10" s="61" customFormat="1" ht="18.899999999999999" customHeight="1" x14ac:dyDescent="0.35">
      <c r="A499" s="25"/>
      <c r="B499" s="1"/>
      <c r="C499" s="22"/>
      <c r="D499" s="1"/>
      <c r="E499" s="22"/>
      <c r="F499" s="22"/>
      <c r="G499"/>
      <c r="H499" s="22"/>
      <c r="I499" s="22"/>
      <c r="J499" s="25"/>
    </row>
    <row r="500" spans="1:10" s="61" customFormat="1" ht="18.899999999999999" customHeight="1" x14ac:dyDescent="0.35">
      <c r="A500" s="25"/>
      <c r="B500" s="1"/>
      <c r="C500" s="22"/>
      <c r="D500" s="1"/>
      <c r="E500" s="22"/>
      <c r="F500" s="22"/>
      <c r="G500"/>
      <c r="H500" s="22"/>
      <c r="I500" s="22"/>
      <c r="J500" s="25"/>
    </row>
    <row r="501" spans="1:10" s="61" customFormat="1" ht="18.899999999999999" customHeight="1" x14ac:dyDescent="0.35">
      <c r="A501" s="25"/>
      <c r="B501" s="1"/>
      <c r="C501" s="22"/>
      <c r="D501" s="1"/>
      <c r="E501" s="22"/>
      <c r="F501" s="22"/>
      <c r="G501"/>
      <c r="H501" s="22"/>
      <c r="I501" s="22"/>
      <c r="J501" s="25"/>
    </row>
    <row r="502" spans="1:10" s="61" customFormat="1" ht="18.899999999999999" customHeight="1" x14ac:dyDescent="0.35">
      <c r="A502" s="25"/>
      <c r="B502" s="1"/>
      <c r="C502" s="22"/>
      <c r="D502" s="1"/>
      <c r="E502" s="22"/>
      <c r="F502" s="22"/>
      <c r="G502"/>
      <c r="H502" s="22"/>
      <c r="I502" s="22"/>
      <c r="J502" s="25"/>
    </row>
    <row r="503" spans="1:10" s="61" customFormat="1" ht="18.899999999999999" customHeight="1" x14ac:dyDescent="0.35">
      <c r="A503" s="25"/>
      <c r="B503" s="1"/>
      <c r="C503" s="22"/>
      <c r="D503" s="1"/>
      <c r="E503" s="22"/>
      <c r="F503" s="22"/>
      <c r="G503"/>
      <c r="H503" s="22"/>
      <c r="I503" s="22"/>
      <c r="J503" s="25"/>
    </row>
    <row r="504" spans="1:10" s="61" customFormat="1" ht="18.899999999999999" customHeight="1" x14ac:dyDescent="0.35">
      <c r="A504" s="25"/>
      <c r="B504" s="1"/>
      <c r="C504" s="22"/>
      <c r="D504" s="1"/>
      <c r="E504" s="22"/>
      <c r="F504" s="22"/>
      <c r="G504"/>
      <c r="H504" s="22"/>
      <c r="I504" s="22"/>
      <c r="J504" s="25"/>
    </row>
    <row r="505" spans="1:10" s="61" customFormat="1" ht="18.899999999999999" customHeight="1" x14ac:dyDescent="0.35">
      <c r="A505" s="25"/>
      <c r="B505" s="1"/>
      <c r="C505" s="22"/>
      <c r="D505" s="1"/>
      <c r="E505" s="22"/>
      <c r="F505" s="22"/>
      <c r="G505"/>
      <c r="H505" s="22"/>
      <c r="I505" s="22"/>
      <c r="J505" s="25"/>
    </row>
    <row r="506" spans="1:10" s="61" customFormat="1" ht="18.899999999999999" customHeight="1" x14ac:dyDescent="0.35">
      <c r="A506" s="25"/>
      <c r="B506" s="1"/>
      <c r="C506" s="22"/>
      <c r="D506" s="1"/>
      <c r="E506" s="22"/>
      <c r="F506" s="22"/>
      <c r="G506"/>
      <c r="H506" s="22"/>
      <c r="I506" s="22"/>
      <c r="J506" s="25"/>
    </row>
    <row r="507" spans="1:10" s="61" customFormat="1" ht="18.899999999999999" customHeight="1" x14ac:dyDescent="0.35">
      <c r="A507" s="25"/>
      <c r="B507" s="1"/>
      <c r="C507" s="22"/>
      <c r="D507" s="1"/>
      <c r="E507" s="22"/>
      <c r="F507" s="22"/>
      <c r="G507"/>
      <c r="H507" s="22"/>
      <c r="I507" s="22"/>
      <c r="J507" s="25"/>
    </row>
    <row r="508" spans="1:10" s="61" customFormat="1" ht="18.899999999999999" customHeight="1" x14ac:dyDescent="0.35">
      <c r="A508" s="25"/>
      <c r="B508" s="1"/>
      <c r="C508" s="22"/>
      <c r="D508" s="1"/>
      <c r="E508" s="22"/>
      <c r="F508" s="22"/>
      <c r="G508"/>
      <c r="H508" s="22"/>
      <c r="I508" s="22"/>
      <c r="J508" s="25"/>
    </row>
    <row r="509" spans="1:10" s="61" customFormat="1" ht="18.899999999999999" customHeight="1" x14ac:dyDescent="0.35">
      <c r="A509" s="25"/>
      <c r="B509" s="1"/>
      <c r="C509" s="22"/>
      <c r="D509" s="1"/>
      <c r="E509" s="22"/>
      <c r="F509" s="22"/>
      <c r="G509"/>
      <c r="H509" s="22"/>
      <c r="I509" s="22"/>
      <c r="J509" s="25"/>
    </row>
    <row r="510" spans="1:10" s="61" customFormat="1" ht="18.899999999999999" customHeight="1" x14ac:dyDescent="0.35">
      <c r="A510" s="25"/>
      <c r="B510" s="1"/>
      <c r="C510" s="22"/>
      <c r="D510" s="1"/>
      <c r="E510" s="22"/>
      <c r="F510" s="22"/>
      <c r="G510"/>
      <c r="H510" s="22"/>
      <c r="I510" s="22"/>
      <c r="J510" s="25"/>
    </row>
    <row r="511" spans="1:10" s="61" customFormat="1" ht="18.899999999999999" customHeight="1" x14ac:dyDescent="0.35">
      <c r="A511" s="25"/>
      <c r="B511" s="1"/>
      <c r="C511" s="22"/>
      <c r="D511" s="1"/>
      <c r="E511" s="22"/>
      <c r="F511" s="22"/>
      <c r="G511"/>
      <c r="H511" s="22"/>
      <c r="I511" s="22"/>
      <c r="J511" s="25"/>
    </row>
    <row r="512" spans="1:10" s="61" customFormat="1" ht="18.899999999999999" customHeight="1" x14ac:dyDescent="0.35">
      <c r="A512" s="25"/>
      <c r="B512" s="1"/>
      <c r="C512" s="22"/>
      <c r="D512" s="1"/>
      <c r="E512" s="22"/>
      <c r="F512" s="22"/>
      <c r="G512"/>
      <c r="H512" s="22"/>
      <c r="I512" s="22"/>
      <c r="J512" s="25"/>
    </row>
    <row r="513" spans="1:10" s="61" customFormat="1" ht="18.899999999999999" customHeight="1" x14ac:dyDescent="0.35">
      <c r="A513" s="25"/>
      <c r="B513" s="1"/>
      <c r="C513" s="22"/>
      <c r="D513" s="1"/>
      <c r="E513" s="22"/>
      <c r="F513" s="22"/>
      <c r="G513"/>
      <c r="H513" s="22"/>
      <c r="I513" s="22"/>
      <c r="J513" s="25"/>
    </row>
    <row r="514" spans="1:10" s="61" customFormat="1" ht="18.899999999999999" customHeight="1" x14ac:dyDescent="0.35">
      <c r="A514" s="25"/>
      <c r="B514" s="1"/>
      <c r="C514" s="22"/>
      <c r="D514" s="1"/>
      <c r="E514" s="22"/>
      <c r="F514" s="22"/>
      <c r="G514"/>
      <c r="H514" s="22"/>
      <c r="I514" s="22"/>
      <c r="J514" s="25"/>
    </row>
    <row r="515" spans="1:10" s="61" customFormat="1" ht="18.899999999999999" customHeight="1" x14ac:dyDescent="0.35">
      <c r="A515" s="25"/>
      <c r="B515" s="1"/>
      <c r="C515" s="22"/>
      <c r="D515" s="1"/>
      <c r="E515" s="22"/>
      <c r="F515" s="22"/>
      <c r="G515"/>
      <c r="H515" s="22"/>
      <c r="I515" s="22"/>
      <c r="J515" s="25"/>
    </row>
    <row r="516" spans="1:10" s="61" customFormat="1" ht="18.899999999999999" customHeight="1" x14ac:dyDescent="0.35">
      <c r="A516" s="25"/>
      <c r="B516" s="1"/>
      <c r="C516" s="22"/>
      <c r="D516" s="1"/>
      <c r="E516" s="22"/>
      <c r="F516" s="22"/>
      <c r="G516"/>
      <c r="H516" s="22"/>
      <c r="I516" s="22"/>
      <c r="J516" s="25"/>
    </row>
    <row r="517" spans="1:10" s="61" customFormat="1" ht="18.899999999999999" customHeight="1" x14ac:dyDescent="0.35">
      <c r="A517" s="25"/>
      <c r="B517" s="1"/>
      <c r="C517" s="22"/>
      <c r="D517" s="1"/>
      <c r="E517" s="22"/>
      <c r="F517" s="22"/>
      <c r="G517"/>
      <c r="H517" s="22"/>
      <c r="I517" s="22"/>
      <c r="J517" s="25"/>
    </row>
    <row r="518" spans="1:10" s="61" customFormat="1" ht="18.899999999999999" customHeight="1" x14ac:dyDescent="0.35">
      <c r="A518" s="25"/>
      <c r="B518" s="1"/>
      <c r="C518" s="22"/>
      <c r="D518" s="1"/>
      <c r="E518" s="22"/>
      <c r="F518" s="22"/>
      <c r="G518"/>
      <c r="H518" s="22"/>
      <c r="I518" s="22"/>
      <c r="J518" s="25"/>
    </row>
    <row r="519" spans="1:10" s="61" customFormat="1" ht="18.899999999999999" customHeight="1" x14ac:dyDescent="0.35">
      <c r="A519" s="25"/>
      <c r="B519" s="1"/>
      <c r="C519" s="22"/>
      <c r="D519" s="1"/>
      <c r="E519" s="22"/>
      <c r="F519" s="22"/>
      <c r="G519"/>
      <c r="H519" s="22"/>
      <c r="I519" s="22"/>
      <c r="J519" s="25"/>
    </row>
    <row r="520" spans="1:10" s="61" customFormat="1" ht="18.899999999999999" customHeight="1" x14ac:dyDescent="0.35">
      <c r="A520" s="25"/>
      <c r="B520" s="1"/>
      <c r="C520" s="22"/>
      <c r="D520" s="1"/>
      <c r="E520" s="22"/>
      <c r="F520" s="22"/>
      <c r="G520"/>
      <c r="H520" s="22"/>
      <c r="I520" s="22"/>
      <c r="J520" s="25"/>
    </row>
    <row r="521" spans="1:10" s="61" customFormat="1" ht="18.899999999999999" customHeight="1" x14ac:dyDescent="0.35">
      <c r="A521" s="25"/>
      <c r="B521" s="1"/>
      <c r="C521" s="22"/>
      <c r="D521" s="1"/>
      <c r="E521" s="22"/>
      <c r="F521" s="22"/>
      <c r="G521"/>
      <c r="H521" s="22"/>
      <c r="I521" s="22"/>
      <c r="J521" s="25"/>
    </row>
    <row r="522" spans="1:10" s="61" customFormat="1" ht="18.899999999999999" customHeight="1" x14ac:dyDescent="0.35">
      <c r="A522" s="25"/>
      <c r="B522" s="1"/>
      <c r="C522" s="22"/>
      <c r="D522" s="1"/>
      <c r="E522" s="22"/>
      <c r="F522" s="22"/>
      <c r="G522"/>
      <c r="H522" s="22"/>
      <c r="I522" s="22"/>
      <c r="J522" s="25"/>
    </row>
    <row r="523" spans="1:10" s="61" customFormat="1" ht="18.899999999999999" customHeight="1" x14ac:dyDescent="0.35">
      <c r="A523" s="25"/>
      <c r="B523" s="1"/>
      <c r="C523" s="22"/>
      <c r="D523" s="1"/>
      <c r="E523" s="22"/>
      <c r="F523" s="22"/>
      <c r="G523"/>
      <c r="H523" s="22"/>
      <c r="I523" s="22"/>
      <c r="J523" s="25"/>
    </row>
    <row r="524" spans="1:10" s="61" customFormat="1" ht="18.899999999999999" customHeight="1" x14ac:dyDescent="0.35">
      <c r="A524" s="25"/>
      <c r="B524" s="1"/>
      <c r="C524" s="22"/>
      <c r="D524" s="1"/>
      <c r="E524" s="22"/>
      <c r="F524" s="22"/>
      <c r="G524"/>
      <c r="H524" s="22"/>
      <c r="I524" s="22"/>
      <c r="J524" s="25"/>
    </row>
    <row r="525" spans="1:10" s="61" customFormat="1" ht="18.899999999999999" customHeight="1" x14ac:dyDescent="0.35">
      <c r="A525" s="25"/>
      <c r="B525" s="1"/>
      <c r="C525" s="22"/>
      <c r="D525" s="1"/>
      <c r="E525" s="22"/>
      <c r="F525" s="22"/>
      <c r="G525"/>
      <c r="H525" s="22"/>
      <c r="I525" s="22"/>
      <c r="J525" s="25"/>
    </row>
    <row r="526" spans="1:10" s="61" customFormat="1" ht="18.899999999999999" customHeight="1" x14ac:dyDescent="0.35">
      <c r="A526" s="25"/>
      <c r="B526" s="1"/>
      <c r="C526" s="22"/>
      <c r="D526" s="1"/>
      <c r="E526" s="22"/>
      <c r="F526" s="22"/>
      <c r="G526"/>
      <c r="H526" s="22"/>
      <c r="I526" s="22"/>
      <c r="J526" s="25"/>
    </row>
    <row r="527" spans="1:10" s="61" customFormat="1" ht="18.899999999999999" customHeight="1" x14ac:dyDescent="0.35">
      <c r="A527" s="25"/>
      <c r="B527" s="1"/>
      <c r="C527" s="22"/>
      <c r="D527" s="1"/>
      <c r="E527" s="22"/>
      <c r="F527" s="22"/>
      <c r="G527"/>
      <c r="H527" s="22"/>
      <c r="I527" s="22"/>
      <c r="J527" s="25"/>
    </row>
    <row r="528" spans="1:10" s="61" customFormat="1" ht="18.899999999999999" customHeight="1" x14ac:dyDescent="0.35">
      <c r="A528" s="25"/>
      <c r="B528" s="1"/>
      <c r="C528" s="22"/>
      <c r="D528" s="1"/>
      <c r="E528" s="22"/>
      <c r="F528" s="22"/>
      <c r="G528"/>
      <c r="H528" s="22"/>
      <c r="I528" s="22"/>
      <c r="J528" s="25"/>
    </row>
    <row r="529" spans="1:10" s="61" customFormat="1" ht="18.899999999999999" customHeight="1" x14ac:dyDescent="0.35">
      <c r="A529" s="25"/>
      <c r="B529" s="1"/>
      <c r="C529" s="22"/>
      <c r="D529" s="1"/>
      <c r="E529" s="22"/>
      <c r="F529" s="22"/>
      <c r="G529"/>
      <c r="H529" s="22"/>
      <c r="I529" s="22"/>
      <c r="J529" s="25"/>
    </row>
    <row r="530" spans="1:10" s="61" customFormat="1" ht="18.899999999999999" customHeight="1" x14ac:dyDescent="0.35">
      <c r="A530" s="25"/>
      <c r="B530" s="1"/>
      <c r="C530" s="22"/>
      <c r="D530" s="1"/>
      <c r="E530" s="22"/>
      <c r="F530" s="22"/>
      <c r="G530"/>
      <c r="H530" s="22"/>
      <c r="I530" s="22"/>
      <c r="J530" s="25"/>
    </row>
    <row r="531" spans="1:10" s="61" customFormat="1" ht="18.899999999999999" customHeight="1" x14ac:dyDescent="0.35">
      <c r="A531" s="25"/>
      <c r="B531" s="1"/>
      <c r="C531" s="22"/>
      <c r="D531" s="1"/>
      <c r="E531" s="22"/>
      <c r="F531" s="22"/>
      <c r="G531"/>
      <c r="H531" s="22"/>
      <c r="I531" s="22"/>
      <c r="J531" s="25"/>
    </row>
    <row r="532" spans="1:10" s="61" customFormat="1" ht="18.899999999999999" customHeight="1" x14ac:dyDescent="0.35">
      <c r="A532" s="25"/>
      <c r="B532" s="1"/>
      <c r="C532" s="22"/>
      <c r="D532" s="1"/>
      <c r="E532" s="22"/>
      <c r="F532" s="22"/>
      <c r="G532"/>
      <c r="H532" s="22"/>
      <c r="I532" s="22"/>
      <c r="J532" s="25"/>
    </row>
    <row r="533" spans="1:10" s="61" customFormat="1" ht="18.899999999999999" customHeight="1" x14ac:dyDescent="0.35">
      <c r="A533" s="25"/>
      <c r="B533" s="1"/>
      <c r="C533" s="22"/>
      <c r="D533" s="1"/>
      <c r="E533" s="22"/>
      <c r="F533" s="22"/>
      <c r="G533"/>
      <c r="H533" s="22"/>
      <c r="I533" s="22"/>
      <c r="J533" s="25"/>
    </row>
    <row r="534" spans="1:10" s="61" customFormat="1" ht="18.899999999999999" customHeight="1" x14ac:dyDescent="0.35">
      <c r="A534" s="25"/>
      <c r="B534" s="1"/>
      <c r="C534" s="22"/>
      <c r="D534" s="1"/>
      <c r="E534" s="22"/>
      <c r="F534" s="22"/>
      <c r="G534"/>
      <c r="H534" s="22"/>
      <c r="I534" s="22"/>
      <c r="J534" s="25"/>
    </row>
    <row r="535" spans="1:10" s="61" customFormat="1" ht="18.899999999999999" customHeight="1" x14ac:dyDescent="0.35">
      <c r="A535" s="25"/>
      <c r="B535" s="1"/>
      <c r="C535" s="22"/>
      <c r="D535" s="1"/>
      <c r="E535" s="22"/>
      <c r="F535" s="22"/>
      <c r="G535"/>
      <c r="H535" s="22"/>
      <c r="I535" s="22"/>
      <c r="J535" s="25"/>
    </row>
    <row r="536" spans="1:10" s="61" customFormat="1" ht="18.899999999999999" customHeight="1" x14ac:dyDescent="0.35">
      <c r="A536" s="25"/>
      <c r="B536" s="1"/>
      <c r="C536" s="22"/>
      <c r="D536" s="1"/>
      <c r="E536" s="22"/>
      <c r="F536" s="22"/>
      <c r="G536"/>
      <c r="H536" s="22"/>
      <c r="I536" s="22"/>
      <c r="J536" s="25"/>
    </row>
    <row r="537" spans="1:10" s="61" customFormat="1" ht="18.899999999999999" customHeight="1" x14ac:dyDescent="0.35">
      <c r="A537" s="25"/>
      <c r="B537" s="1"/>
      <c r="C537" s="22"/>
      <c r="D537" s="1"/>
      <c r="E537" s="22"/>
      <c r="F537" s="22"/>
      <c r="G537"/>
      <c r="H537" s="22"/>
      <c r="I537" s="22"/>
      <c r="J537" s="25"/>
    </row>
    <row r="538" spans="1:10" s="61" customFormat="1" ht="18.899999999999999" customHeight="1" x14ac:dyDescent="0.35">
      <c r="A538" s="25"/>
      <c r="B538" s="1"/>
      <c r="C538" s="22"/>
      <c r="D538" s="1"/>
      <c r="E538" s="22"/>
      <c r="F538" s="22"/>
      <c r="G538"/>
      <c r="H538" s="22"/>
      <c r="I538" s="22"/>
      <c r="J538" s="25"/>
    </row>
    <row r="539" spans="1:10" s="61" customFormat="1" ht="18.899999999999999" customHeight="1" x14ac:dyDescent="0.35">
      <c r="A539" s="25"/>
      <c r="B539" s="1"/>
      <c r="C539" s="22"/>
      <c r="D539" s="1"/>
      <c r="E539" s="22"/>
      <c r="F539" s="22"/>
      <c r="G539"/>
      <c r="H539" s="22"/>
      <c r="I539" s="22"/>
      <c r="J539" s="25"/>
    </row>
    <row r="540" spans="1:10" s="61" customFormat="1" ht="18.899999999999999" customHeight="1" x14ac:dyDescent="0.35">
      <c r="A540" s="25"/>
      <c r="B540" s="1"/>
      <c r="C540" s="22"/>
      <c r="D540" s="1"/>
      <c r="E540" s="22"/>
      <c r="F540" s="22"/>
      <c r="G540"/>
      <c r="H540" s="22"/>
      <c r="I540" s="22"/>
      <c r="J540" s="25"/>
    </row>
    <row r="541" spans="1:10" s="61" customFormat="1" ht="18.899999999999999" customHeight="1" x14ac:dyDescent="0.35">
      <c r="A541" s="25"/>
      <c r="B541" s="1"/>
      <c r="C541" s="22"/>
      <c r="D541" s="1"/>
      <c r="E541" s="22"/>
      <c r="F541" s="22"/>
      <c r="G541"/>
      <c r="H541" s="22"/>
      <c r="I541" s="22"/>
      <c r="J541" s="25"/>
    </row>
    <row r="542" spans="1:10" s="61" customFormat="1" ht="18.899999999999999" customHeight="1" x14ac:dyDescent="0.35">
      <c r="A542" s="25"/>
      <c r="B542" s="1"/>
      <c r="C542" s="22"/>
      <c r="D542" s="1"/>
      <c r="E542" s="22"/>
      <c r="F542" s="22"/>
      <c r="G542"/>
      <c r="H542" s="22"/>
      <c r="I542" s="22"/>
      <c r="J542" s="25"/>
    </row>
    <row r="543" spans="1:10" s="61" customFormat="1" ht="18.899999999999999" customHeight="1" x14ac:dyDescent="0.35">
      <c r="A543" s="25"/>
      <c r="B543" s="1"/>
      <c r="C543" s="22"/>
      <c r="D543" s="1"/>
      <c r="E543" s="22"/>
      <c r="F543" s="22"/>
      <c r="G543"/>
      <c r="H543" s="22"/>
      <c r="I543" s="22"/>
      <c r="J543" s="25"/>
    </row>
    <row r="544" spans="1:10" s="61" customFormat="1" ht="18.899999999999999" customHeight="1" x14ac:dyDescent="0.35">
      <c r="A544" s="25"/>
      <c r="B544" s="1"/>
      <c r="C544" s="22"/>
      <c r="D544" s="1"/>
      <c r="E544" s="22"/>
      <c r="F544" s="22"/>
      <c r="G544"/>
      <c r="H544" s="22"/>
      <c r="I544" s="22"/>
      <c r="J544" s="25"/>
    </row>
    <row r="545" spans="1:10" s="61" customFormat="1" ht="18.899999999999999" customHeight="1" x14ac:dyDescent="0.35">
      <c r="A545" s="25"/>
      <c r="B545" s="1"/>
      <c r="C545" s="22"/>
      <c r="D545" s="1"/>
      <c r="E545" s="22"/>
      <c r="F545" s="22"/>
      <c r="G545"/>
      <c r="H545" s="22"/>
      <c r="I545" s="22"/>
      <c r="J545" s="25"/>
    </row>
    <row r="546" spans="1:10" s="61" customFormat="1" ht="18.899999999999999" customHeight="1" x14ac:dyDescent="0.35">
      <c r="A546" s="25"/>
      <c r="B546" s="1"/>
      <c r="C546" s="22"/>
      <c r="D546" s="1"/>
      <c r="E546" s="22"/>
      <c r="F546" s="22"/>
      <c r="G546"/>
      <c r="H546" s="22"/>
      <c r="I546" s="22"/>
      <c r="J546" s="25"/>
    </row>
    <row r="547" spans="1:10" s="61" customFormat="1" ht="18.899999999999999" customHeight="1" x14ac:dyDescent="0.35">
      <c r="A547" s="25"/>
      <c r="B547" s="1"/>
      <c r="C547" s="22"/>
      <c r="D547" s="1"/>
      <c r="E547" s="22"/>
      <c r="F547" s="22"/>
      <c r="G547"/>
      <c r="H547" s="22"/>
      <c r="I547" s="22"/>
      <c r="J547" s="25"/>
    </row>
    <row r="548" spans="1:10" s="61" customFormat="1" ht="18.899999999999999" customHeight="1" x14ac:dyDescent="0.35">
      <c r="A548" s="25"/>
      <c r="B548" s="1"/>
      <c r="C548" s="22"/>
      <c r="D548" s="1"/>
      <c r="E548" s="22"/>
      <c r="F548" s="22"/>
      <c r="G548"/>
      <c r="H548" s="22"/>
      <c r="I548" s="22"/>
      <c r="J548" s="25"/>
    </row>
    <row r="549" spans="1:10" s="61" customFormat="1" ht="18.899999999999999" customHeight="1" x14ac:dyDescent="0.35">
      <c r="A549" s="25"/>
      <c r="B549" s="1"/>
      <c r="C549" s="22"/>
      <c r="D549" s="1"/>
      <c r="E549" s="22"/>
      <c r="F549" s="22"/>
      <c r="G549"/>
      <c r="H549" s="22"/>
      <c r="I549" s="22"/>
      <c r="J549" s="25"/>
    </row>
    <row r="550" spans="1:10" s="61" customFormat="1" ht="18.899999999999999" customHeight="1" x14ac:dyDescent="0.35">
      <c r="A550" s="25"/>
      <c r="B550" s="1"/>
      <c r="C550" s="22"/>
      <c r="D550" s="1"/>
      <c r="E550" s="22"/>
      <c r="F550" s="22"/>
      <c r="G550"/>
      <c r="H550" s="22"/>
      <c r="I550" s="22"/>
      <c r="J550" s="25"/>
    </row>
    <row r="551" spans="1:10" s="61" customFormat="1" ht="18.899999999999999" customHeight="1" x14ac:dyDescent="0.35">
      <c r="A551" s="25"/>
      <c r="B551" s="1"/>
      <c r="C551" s="22"/>
      <c r="D551" s="1"/>
      <c r="E551" s="22"/>
      <c r="F551" s="22"/>
      <c r="G551"/>
      <c r="H551" s="22"/>
      <c r="I551" s="22"/>
      <c r="J551" s="25"/>
    </row>
    <row r="552" spans="1:10" s="61" customFormat="1" ht="18.899999999999999" customHeight="1" x14ac:dyDescent="0.35">
      <c r="A552" s="25"/>
      <c r="B552" s="1"/>
      <c r="C552" s="22"/>
      <c r="D552" s="1"/>
      <c r="E552" s="22"/>
      <c r="F552" s="22"/>
      <c r="G552"/>
      <c r="H552" s="22"/>
      <c r="I552" s="22"/>
      <c r="J552" s="25"/>
    </row>
    <row r="553" spans="1:10" s="61" customFormat="1" ht="18.899999999999999" customHeight="1" x14ac:dyDescent="0.35">
      <c r="A553" s="25"/>
      <c r="B553" s="1"/>
      <c r="C553" s="22"/>
      <c r="D553" s="1"/>
      <c r="E553" s="22"/>
      <c r="F553" s="22"/>
      <c r="G553"/>
      <c r="H553" s="22"/>
      <c r="I553" s="22"/>
      <c r="J553" s="25"/>
    </row>
    <row r="554" spans="1:10" s="61" customFormat="1" ht="18.899999999999999" customHeight="1" x14ac:dyDescent="0.35">
      <c r="A554" s="25"/>
      <c r="B554" s="1"/>
      <c r="C554" s="22"/>
      <c r="D554" s="1"/>
      <c r="E554" s="22"/>
      <c r="F554" s="22"/>
      <c r="G554"/>
      <c r="H554" s="22"/>
      <c r="I554" s="22"/>
      <c r="J554" s="25"/>
    </row>
    <row r="555" spans="1:10" s="61" customFormat="1" ht="18.899999999999999" customHeight="1" x14ac:dyDescent="0.35">
      <c r="A555" s="25"/>
      <c r="B555" s="1"/>
      <c r="C555" s="22"/>
      <c r="D555" s="1"/>
      <c r="E555" s="22"/>
      <c r="F555" s="22"/>
      <c r="G555"/>
      <c r="H555" s="22"/>
      <c r="I555" s="22"/>
      <c r="J555" s="25"/>
    </row>
    <row r="556" spans="1:10" s="61" customFormat="1" ht="18.899999999999999" customHeight="1" x14ac:dyDescent="0.35">
      <c r="A556" s="25"/>
      <c r="B556" s="1"/>
      <c r="C556" s="22"/>
      <c r="D556" s="1"/>
      <c r="E556" s="22"/>
      <c r="F556" s="22"/>
      <c r="G556"/>
      <c r="H556" s="22"/>
      <c r="I556" s="22"/>
      <c r="J556" s="25"/>
    </row>
    <row r="557" spans="1:10" s="61" customFormat="1" ht="18.899999999999999" customHeight="1" x14ac:dyDescent="0.35">
      <c r="A557" s="25"/>
      <c r="B557" s="1"/>
      <c r="C557" s="22"/>
      <c r="D557" s="1"/>
      <c r="E557" s="22"/>
      <c r="F557" s="22"/>
      <c r="G557"/>
      <c r="H557" s="22"/>
      <c r="I557" s="22"/>
      <c r="J557" s="25"/>
    </row>
    <row r="558" spans="1:10" s="61" customFormat="1" ht="18.899999999999999" customHeight="1" x14ac:dyDescent="0.35">
      <c r="A558" s="25"/>
      <c r="B558" s="1"/>
      <c r="C558" s="22"/>
      <c r="D558" s="1"/>
      <c r="E558" s="22"/>
      <c r="F558" s="22"/>
      <c r="G558"/>
      <c r="H558" s="22"/>
      <c r="I558" s="22"/>
      <c r="J558" s="25"/>
    </row>
    <row r="559" spans="1:10" s="61" customFormat="1" ht="18.899999999999999" customHeight="1" x14ac:dyDescent="0.35">
      <c r="A559" s="25"/>
      <c r="B559" s="1"/>
      <c r="C559" s="22"/>
      <c r="D559" s="1"/>
      <c r="E559" s="22"/>
      <c r="F559" s="22"/>
      <c r="G559"/>
      <c r="H559" s="22"/>
      <c r="I559" s="22"/>
      <c r="J559" s="25"/>
    </row>
    <row r="560" spans="1:10" s="61" customFormat="1" ht="18.899999999999999" customHeight="1" x14ac:dyDescent="0.35">
      <c r="A560" s="25"/>
      <c r="B560" s="1"/>
      <c r="C560" s="22"/>
      <c r="D560" s="1"/>
      <c r="E560" s="22"/>
      <c r="F560" s="22"/>
      <c r="G560"/>
      <c r="H560" s="22"/>
      <c r="I560" s="22"/>
      <c r="J560" s="25"/>
    </row>
    <row r="561" spans="1:10" s="61" customFormat="1" ht="18.899999999999999" customHeight="1" x14ac:dyDescent="0.35">
      <c r="A561" s="25"/>
      <c r="B561" s="1"/>
      <c r="C561" s="22"/>
      <c r="D561" s="1"/>
      <c r="E561" s="22"/>
      <c r="F561" s="22"/>
      <c r="G561"/>
      <c r="H561" s="22"/>
      <c r="I561" s="22"/>
      <c r="J561" s="25"/>
    </row>
    <row r="562" spans="1:10" s="61" customFormat="1" ht="18.899999999999999" customHeight="1" x14ac:dyDescent="0.35">
      <c r="A562" s="25"/>
      <c r="B562" s="1"/>
      <c r="C562" s="22"/>
      <c r="D562" s="1"/>
      <c r="E562" s="22"/>
      <c r="F562" s="22"/>
      <c r="G562"/>
      <c r="H562" s="22"/>
      <c r="I562" s="22"/>
      <c r="J562" s="25"/>
    </row>
    <row r="563" spans="1:10" s="61" customFormat="1" ht="18.899999999999999" customHeight="1" x14ac:dyDescent="0.35">
      <c r="A563" s="25"/>
      <c r="B563" s="1"/>
      <c r="C563" s="22"/>
      <c r="D563" s="1"/>
      <c r="E563" s="22"/>
      <c r="F563" s="22"/>
      <c r="G563"/>
      <c r="H563" s="22"/>
      <c r="I563" s="22"/>
      <c r="J563" s="25"/>
    </row>
    <row r="564" spans="1:10" s="61" customFormat="1" ht="18.899999999999999" customHeight="1" x14ac:dyDescent="0.35">
      <c r="A564" s="25"/>
      <c r="B564" s="1"/>
      <c r="C564" s="22"/>
      <c r="D564" s="1"/>
      <c r="E564" s="22"/>
      <c r="F564" s="22"/>
      <c r="G564"/>
      <c r="H564" s="22"/>
      <c r="I564" s="22"/>
      <c r="J564" s="25"/>
    </row>
    <row r="565" spans="1:10" s="61" customFormat="1" ht="18.899999999999999" customHeight="1" x14ac:dyDescent="0.35">
      <c r="A565" s="25"/>
      <c r="B565" s="1"/>
      <c r="C565" s="22"/>
      <c r="D565" s="1"/>
      <c r="E565" s="22"/>
      <c r="F565" s="22"/>
      <c r="G565"/>
      <c r="H565" s="22"/>
      <c r="I565" s="22"/>
      <c r="J565" s="25"/>
    </row>
    <row r="566" spans="1:10" s="61" customFormat="1" ht="18.899999999999999" customHeight="1" x14ac:dyDescent="0.35">
      <c r="A566" s="25"/>
      <c r="B566" s="1"/>
      <c r="C566" s="22"/>
      <c r="D566" s="1"/>
      <c r="E566" s="22"/>
      <c r="F566" s="22"/>
      <c r="G566"/>
      <c r="H566" s="22"/>
      <c r="I566" s="22"/>
      <c r="J566" s="25"/>
    </row>
    <row r="567" spans="1:10" s="61" customFormat="1" ht="18.899999999999999" customHeight="1" x14ac:dyDescent="0.35">
      <c r="A567" s="25"/>
      <c r="B567" s="1"/>
      <c r="C567" s="22"/>
      <c r="D567" s="1"/>
      <c r="E567" s="22"/>
      <c r="F567" s="22"/>
      <c r="G567"/>
      <c r="H567" s="22"/>
      <c r="I567" s="22"/>
      <c r="J567" s="25"/>
    </row>
    <row r="568" spans="1:10" s="61" customFormat="1" ht="18.899999999999999" customHeight="1" x14ac:dyDescent="0.35">
      <c r="A568" s="25"/>
      <c r="B568" s="1"/>
      <c r="C568" s="22"/>
      <c r="D568" s="1"/>
      <c r="E568" s="22"/>
      <c r="F568" s="22"/>
      <c r="G568"/>
      <c r="H568" s="22"/>
      <c r="I568" s="22"/>
      <c r="J568" s="25"/>
    </row>
    <row r="569" spans="1:10" s="61" customFormat="1" ht="18.899999999999999" customHeight="1" x14ac:dyDescent="0.35">
      <c r="A569" s="25"/>
      <c r="B569" s="1"/>
      <c r="C569" s="22"/>
      <c r="D569" s="1"/>
      <c r="E569" s="22"/>
      <c r="F569" s="22"/>
      <c r="G569"/>
      <c r="H569" s="22"/>
      <c r="I569" s="22"/>
      <c r="J569" s="25"/>
    </row>
    <row r="570" spans="1:10" s="61" customFormat="1" ht="18.899999999999999" customHeight="1" x14ac:dyDescent="0.35">
      <c r="A570" s="25"/>
      <c r="B570" s="1"/>
      <c r="C570" s="22"/>
      <c r="D570" s="1"/>
      <c r="E570" s="22"/>
      <c r="F570" s="22"/>
      <c r="G570"/>
      <c r="H570" s="22"/>
      <c r="I570" s="22"/>
      <c r="J570" s="25"/>
    </row>
    <row r="571" spans="1:10" s="61" customFormat="1" ht="18.899999999999999" customHeight="1" x14ac:dyDescent="0.35">
      <c r="A571" s="25"/>
      <c r="B571" s="1"/>
      <c r="C571" s="22"/>
      <c r="D571" s="1"/>
      <c r="E571" s="22"/>
      <c r="F571" s="22"/>
      <c r="G571"/>
      <c r="H571" s="22"/>
      <c r="I571" s="22"/>
      <c r="J571" s="25"/>
    </row>
    <row r="572" spans="1:10" s="61" customFormat="1" ht="18.899999999999999" customHeight="1" x14ac:dyDescent="0.35">
      <c r="A572" s="25"/>
      <c r="B572" s="1"/>
      <c r="C572" s="22"/>
      <c r="D572" s="1"/>
      <c r="E572" s="22"/>
      <c r="F572" s="22"/>
      <c r="G572"/>
      <c r="H572" s="22"/>
      <c r="I572" s="22"/>
      <c r="J572" s="25"/>
    </row>
    <row r="573" spans="1:10" s="61" customFormat="1" ht="18.899999999999999" customHeight="1" x14ac:dyDescent="0.35">
      <c r="A573" s="25"/>
      <c r="B573" s="1"/>
      <c r="C573" s="22"/>
      <c r="D573" s="1"/>
      <c r="E573" s="22"/>
      <c r="F573" s="22"/>
      <c r="G573"/>
      <c r="H573" s="22"/>
      <c r="I573" s="22"/>
      <c r="J573" s="25"/>
    </row>
    <row r="574" spans="1:10" s="61" customFormat="1" ht="18.899999999999999" customHeight="1" x14ac:dyDescent="0.35">
      <c r="A574" s="25"/>
      <c r="B574" s="1"/>
      <c r="C574" s="22"/>
      <c r="D574" s="1"/>
      <c r="E574" s="22"/>
      <c r="F574" s="22"/>
      <c r="G574"/>
      <c r="H574" s="22"/>
      <c r="I574" s="22"/>
      <c r="J574" s="25"/>
    </row>
    <row r="575" spans="1:10" s="61" customFormat="1" ht="18.899999999999999" customHeight="1" x14ac:dyDescent="0.35">
      <c r="A575" s="25"/>
      <c r="B575" s="1"/>
      <c r="C575" s="22"/>
      <c r="D575" s="1"/>
      <c r="E575" s="22"/>
      <c r="F575" s="22"/>
      <c r="G575"/>
      <c r="H575" s="22"/>
      <c r="I575" s="22"/>
      <c r="J575" s="25"/>
    </row>
    <row r="576" spans="1:10" s="61" customFormat="1" ht="18.899999999999999" customHeight="1" x14ac:dyDescent="0.35">
      <c r="A576" s="25"/>
      <c r="B576" s="1"/>
      <c r="C576" s="22"/>
      <c r="D576" s="1"/>
      <c r="E576" s="22"/>
      <c r="F576" s="22"/>
      <c r="G576"/>
      <c r="H576" s="22"/>
      <c r="I576" s="22"/>
      <c r="J576" s="25"/>
    </row>
    <row r="577" spans="1:10" s="61" customFormat="1" ht="18.899999999999999" customHeight="1" x14ac:dyDescent="0.35">
      <c r="A577" s="25"/>
      <c r="B577" s="1"/>
      <c r="C577" s="22"/>
      <c r="D577" s="1"/>
      <c r="E577" s="22"/>
      <c r="F577" s="22"/>
      <c r="G577"/>
      <c r="H577" s="22"/>
      <c r="I577" s="22"/>
      <c r="J577" s="25"/>
    </row>
    <row r="578" spans="1:10" s="61" customFormat="1" ht="18.899999999999999" customHeight="1" x14ac:dyDescent="0.35">
      <c r="A578" s="25"/>
      <c r="B578" s="1"/>
      <c r="C578" s="22"/>
      <c r="D578" s="1"/>
      <c r="E578" s="22"/>
      <c r="F578" s="22"/>
      <c r="G578"/>
      <c r="H578" s="22"/>
      <c r="I578" s="22"/>
      <c r="J578" s="25"/>
    </row>
    <row r="579" spans="1:10" s="61" customFormat="1" ht="18.899999999999999" customHeight="1" x14ac:dyDescent="0.35">
      <c r="A579" s="25"/>
      <c r="B579" s="1"/>
      <c r="C579" s="22"/>
      <c r="D579" s="1"/>
      <c r="E579" s="22"/>
      <c r="F579" s="22"/>
      <c r="G579"/>
      <c r="H579" s="22"/>
      <c r="I579" s="22"/>
      <c r="J579" s="25"/>
    </row>
    <row r="580" spans="1:10" s="61" customFormat="1" ht="18.899999999999999" customHeight="1" x14ac:dyDescent="0.35">
      <c r="A580" s="25"/>
      <c r="B580" s="1"/>
      <c r="C580" s="22"/>
      <c r="D580" s="1"/>
      <c r="E580" s="22"/>
      <c r="F580" s="22"/>
      <c r="G580"/>
      <c r="H580" s="22"/>
      <c r="I580" s="22"/>
      <c r="J580" s="25"/>
    </row>
    <row r="581" spans="1:10" s="61" customFormat="1" ht="18.899999999999999" customHeight="1" x14ac:dyDescent="0.35">
      <c r="A581" s="25"/>
      <c r="B581" s="1"/>
      <c r="C581" s="22"/>
      <c r="D581" s="1"/>
      <c r="E581" s="22"/>
      <c r="F581" s="22"/>
      <c r="G581"/>
      <c r="H581" s="22"/>
      <c r="I581" s="22"/>
      <c r="J581" s="25"/>
    </row>
    <row r="582" spans="1:10" s="61" customFormat="1" ht="18.899999999999999" customHeight="1" x14ac:dyDescent="0.35">
      <c r="A582" s="25"/>
      <c r="B582" s="1"/>
      <c r="C582" s="22"/>
      <c r="D582" s="1"/>
      <c r="E582" s="22"/>
      <c r="F582" s="22"/>
      <c r="G582"/>
      <c r="H582" s="22"/>
      <c r="I582" s="22"/>
      <c r="J582" s="25"/>
    </row>
    <row r="583" spans="1:10" s="61" customFormat="1" ht="18.899999999999999" customHeight="1" x14ac:dyDescent="0.35">
      <c r="A583" s="25"/>
      <c r="B583" s="1"/>
      <c r="C583" s="22"/>
      <c r="D583" s="1"/>
      <c r="E583" s="22"/>
      <c r="F583" s="22"/>
      <c r="G583"/>
      <c r="H583" s="22"/>
      <c r="I583" s="22"/>
      <c r="J583" s="25"/>
    </row>
    <row r="584" spans="1:10" s="61" customFormat="1" ht="18.899999999999999" customHeight="1" x14ac:dyDescent="0.35">
      <c r="A584" s="25"/>
      <c r="B584" s="1"/>
      <c r="C584" s="22"/>
      <c r="D584" s="1"/>
      <c r="E584" s="22"/>
      <c r="F584" s="22"/>
      <c r="G584"/>
      <c r="H584" s="22"/>
      <c r="I584" s="22"/>
      <c r="J584" s="25"/>
    </row>
    <row r="585" spans="1:10" s="61" customFormat="1" ht="18.899999999999999" customHeight="1" x14ac:dyDescent="0.35">
      <c r="A585" s="25"/>
      <c r="B585" s="1"/>
      <c r="C585" s="22"/>
      <c r="D585" s="1"/>
      <c r="E585" s="22"/>
      <c r="F585" s="22"/>
      <c r="G585"/>
      <c r="H585" s="22"/>
      <c r="I585" s="22"/>
      <c r="J585" s="25"/>
    </row>
    <row r="586" spans="1:10" s="61" customFormat="1" ht="18.899999999999999" customHeight="1" x14ac:dyDescent="0.35">
      <c r="A586" s="25"/>
      <c r="B586" s="1"/>
      <c r="C586" s="22"/>
      <c r="D586" s="1"/>
      <c r="E586" s="22"/>
      <c r="F586" s="22"/>
      <c r="G586"/>
      <c r="H586" s="22"/>
      <c r="I586" s="22"/>
      <c r="J586" s="25"/>
    </row>
    <row r="587" spans="1:10" s="61" customFormat="1" ht="18.899999999999999" customHeight="1" x14ac:dyDescent="0.35">
      <c r="A587" s="25"/>
      <c r="B587" s="1"/>
      <c r="C587" s="22"/>
      <c r="D587" s="1"/>
      <c r="E587" s="22"/>
      <c r="F587" s="22"/>
      <c r="G587"/>
      <c r="H587" s="22"/>
      <c r="I587" s="22"/>
      <c r="J587" s="25"/>
    </row>
    <row r="588" spans="1:10" s="61" customFormat="1" ht="18.899999999999999" customHeight="1" x14ac:dyDescent="0.35">
      <c r="A588" s="25"/>
      <c r="B588" s="1"/>
      <c r="C588" s="22"/>
      <c r="D588" s="1"/>
      <c r="E588" s="22"/>
      <c r="F588" s="22"/>
      <c r="G588"/>
      <c r="H588" s="22"/>
      <c r="I588" s="22"/>
      <c r="J588" s="25"/>
    </row>
    <row r="589" spans="1:10" s="61" customFormat="1" ht="18.899999999999999" customHeight="1" x14ac:dyDescent="0.35">
      <c r="A589" s="25"/>
      <c r="B589" s="1"/>
      <c r="C589" s="22"/>
      <c r="D589" s="1"/>
      <c r="E589" s="22"/>
      <c r="F589" s="22"/>
      <c r="G589"/>
      <c r="H589" s="22"/>
      <c r="I589" s="22"/>
      <c r="J589" s="25"/>
    </row>
    <row r="590" spans="1:10" s="61" customFormat="1" ht="18.899999999999999" customHeight="1" x14ac:dyDescent="0.35">
      <c r="A590" s="25"/>
      <c r="B590" s="1"/>
      <c r="C590" s="22"/>
      <c r="D590" s="1"/>
      <c r="E590" s="22"/>
      <c r="F590" s="22"/>
      <c r="G590"/>
      <c r="H590" s="22"/>
      <c r="I590" s="22"/>
      <c r="J590" s="25"/>
    </row>
    <row r="591" spans="1:10" s="61" customFormat="1" ht="18.899999999999999" customHeight="1" x14ac:dyDescent="0.35">
      <c r="A591" s="25"/>
      <c r="B591" s="1"/>
      <c r="C591" s="22"/>
      <c r="D591" s="1"/>
      <c r="E591" s="22"/>
      <c r="F591" s="22"/>
      <c r="G591"/>
      <c r="H591" s="22"/>
      <c r="I591" s="22"/>
      <c r="J591" s="25"/>
    </row>
    <row r="592" spans="1:10" s="61" customFormat="1" ht="18.899999999999999" customHeight="1" x14ac:dyDescent="0.35">
      <c r="A592" s="25"/>
      <c r="B592" s="1"/>
      <c r="C592" s="22"/>
      <c r="D592" s="1"/>
      <c r="E592" s="22"/>
      <c r="F592" s="22"/>
      <c r="G592"/>
      <c r="H592" s="22"/>
      <c r="I592" s="22"/>
      <c r="J592" s="25"/>
    </row>
    <row r="593" spans="1:10" s="61" customFormat="1" ht="18.899999999999999" customHeight="1" x14ac:dyDescent="0.35">
      <c r="A593" s="25"/>
      <c r="B593" s="1"/>
      <c r="C593" s="22"/>
      <c r="D593" s="1"/>
      <c r="E593" s="22"/>
      <c r="F593" s="22"/>
      <c r="G593"/>
      <c r="H593" s="22"/>
      <c r="I593" s="22"/>
      <c r="J593" s="25"/>
    </row>
    <row r="594" spans="1:10" s="61" customFormat="1" ht="18.899999999999999" customHeight="1" x14ac:dyDescent="0.35">
      <c r="A594" s="25"/>
      <c r="B594" s="1"/>
      <c r="C594" s="22"/>
      <c r="D594" s="1"/>
      <c r="E594" s="22"/>
      <c r="F594" s="22"/>
      <c r="G594"/>
      <c r="H594" s="22"/>
      <c r="I594" s="22"/>
      <c r="J594" s="25"/>
    </row>
    <row r="595" spans="1:10" s="61" customFormat="1" ht="18.899999999999999" customHeight="1" x14ac:dyDescent="0.35">
      <c r="A595" s="25"/>
      <c r="B595" s="1"/>
      <c r="C595" s="22"/>
      <c r="D595" s="1"/>
      <c r="E595" s="22"/>
      <c r="F595" s="22"/>
      <c r="G595"/>
      <c r="H595" s="22"/>
      <c r="I595" s="22"/>
      <c r="J595" s="25"/>
    </row>
    <row r="596" spans="1:10" s="61" customFormat="1" ht="18.899999999999999" customHeight="1" x14ac:dyDescent="0.35">
      <c r="A596" s="25"/>
      <c r="B596" s="1"/>
      <c r="C596" s="22"/>
      <c r="D596" s="1"/>
      <c r="E596" s="22"/>
      <c r="F596" s="22"/>
      <c r="G596"/>
      <c r="H596" s="22"/>
      <c r="I596" s="22"/>
      <c r="J596" s="25"/>
    </row>
    <row r="597" spans="1:10" s="61" customFormat="1" ht="18.899999999999999" customHeight="1" x14ac:dyDescent="0.35">
      <c r="A597" s="25"/>
      <c r="B597" s="1"/>
      <c r="C597" s="22"/>
      <c r="D597" s="1"/>
      <c r="E597" s="22"/>
      <c r="F597" s="22"/>
      <c r="G597"/>
      <c r="H597" s="22"/>
      <c r="I597" s="22"/>
      <c r="J597" s="25"/>
    </row>
    <row r="598" spans="1:10" s="61" customFormat="1" ht="18.899999999999999" customHeight="1" x14ac:dyDescent="0.35">
      <c r="A598" s="25"/>
      <c r="B598" s="1"/>
      <c r="C598" s="22"/>
      <c r="D598" s="1"/>
      <c r="E598" s="22"/>
      <c r="F598" s="22"/>
      <c r="G598"/>
      <c r="H598" s="22"/>
      <c r="I598" s="22"/>
      <c r="J598" s="25"/>
    </row>
    <row r="599" spans="1:10" s="61" customFormat="1" ht="18.899999999999999" customHeight="1" x14ac:dyDescent="0.35">
      <c r="A599" s="25"/>
      <c r="B599" s="1"/>
      <c r="C599" s="22"/>
      <c r="D599" s="1"/>
      <c r="E599" s="22"/>
      <c r="F599" s="22"/>
      <c r="G599"/>
      <c r="H599" s="22"/>
      <c r="I599" s="22"/>
      <c r="J599" s="25"/>
    </row>
    <row r="600" spans="1:10" s="61" customFormat="1" ht="18.899999999999999" customHeight="1" x14ac:dyDescent="0.35">
      <c r="A600" s="25"/>
      <c r="B600" s="1"/>
      <c r="C600" s="22"/>
      <c r="D600" s="1"/>
      <c r="E600" s="22"/>
      <c r="F600" s="22"/>
      <c r="G600"/>
      <c r="H600" s="22"/>
      <c r="I600" s="22"/>
      <c r="J600" s="25"/>
    </row>
    <row r="601" spans="1:10" s="61" customFormat="1" ht="18.899999999999999" customHeight="1" x14ac:dyDescent="0.35">
      <c r="A601" s="25"/>
      <c r="B601" s="1"/>
      <c r="C601" s="22"/>
      <c r="D601" s="1"/>
      <c r="E601" s="22"/>
      <c r="F601" s="22"/>
      <c r="G601"/>
      <c r="H601" s="22"/>
      <c r="I601" s="22"/>
      <c r="J601" s="25"/>
    </row>
    <row r="602" spans="1:10" s="61" customFormat="1" ht="18.899999999999999" customHeight="1" x14ac:dyDescent="0.35">
      <c r="A602" s="25"/>
      <c r="B602" s="1"/>
      <c r="C602" s="22"/>
      <c r="D602" s="1"/>
      <c r="E602" s="22"/>
      <c r="F602" s="22"/>
      <c r="G602"/>
      <c r="H602" s="22"/>
      <c r="I602" s="22"/>
      <c r="J602" s="25"/>
    </row>
    <row r="603" spans="1:10" s="61" customFormat="1" ht="18.899999999999999" customHeight="1" x14ac:dyDescent="0.35">
      <c r="A603" s="25"/>
      <c r="B603" s="1"/>
      <c r="C603" s="22"/>
      <c r="D603" s="1"/>
      <c r="E603" s="22"/>
      <c r="F603" s="22"/>
      <c r="G603"/>
      <c r="H603" s="22"/>
      <c r="I603" s="22"/>
      <c r="J603" s="25"/>
    </row>
    <row r="604" spans="1:10" s="61" customFormat="1" ht="18.899999999999999" customHeight="1" x14ac:dyDescent="0.35">
      <c r="A604" s="25"/>
      <c r="B604" s="1"/>
      <c r="C604" s="22"/>
      <c r="D604" s="1"/>
      <c r="E604" s="22"/>
      <c r="F604" s="22"/>
      <c r="G604"/>
      <c r="H604" s="22"/>
      <c r="I604" s="22"/>
      <c r="J604" s="25"/>
    </row>
    <row r="605" spans="1:10" s="61" customFormat="1" ht="18.899999999999999" customHeight="1" x14ac:dyDescent="0.35">
      <c r="A605" s="25"/>
      <c r="B605" s="1"/>
      <c r="C605" s="22"/>
      <c r="D605" s="1"/>
      <c r="E605" s="22"/>
      <c r="F605" s="22"/>
      <c r="G605"/>
      <c r="H605" s="22"/>
      <c r="I605" s="22"/>
      <c r="J605" s="25"/>
    </row>
    <row r="606" spans="1:10" s="61" customFormat="1" ht="18.899999999999999" customHeight="1" x14ac:dyDescent="0.35">
      <c r="A606" s="25"/>
      <c r="B606" s="1"/>
      <c r="C606" s="22"/>
      <c r="D606" s="1"/>
      <c r="E606" s="22"/>
      <c r="F606" s="22"/>
      <c r="G606"/>
      <c r="H606" s="22"/>
      <c r="I606" s="22"/>
      <c r="J606" s="25"/>
    </row>
    <row r="607" spans="1:10" s="61" customFormat="1" ht="18.899999999999999" customHeight="1" x14ac:dyDescent="0.35">
      <c r="A607" s="25"/>
      <c r="B607" s="1"/>
      <c r="C607" s="22"/>
      <c r="D607" s="1"/>
      <c r="E607" s="22"/>
      <c r="F607" s="22"/>
      <c r="G607"/>
      <c r="H607" s="22"/>
      <c r="I607" s="22"/>
      <c r="J607" s="25"/>
    </row>
    <row r="608" spans="1:10" s="61" customFormat="1" ht="18.899999999999999" customHeight="1" x14ac:dyDescent="0.35">
      <c r="A608" s="25"/>
      <c r="B608" s="1"/>
      <c r="C608" s="22"/>
      <c r="D608" s="1"/>
      <c r="E608" s="22"/>
      <c r="F608" s="22"/>
      <c r="G608"/>
      <c r="H608" s="22"/>
      <c r="I608" s="22"/>
      <c r="J608" s="25"/>
    </row>
    <row r="609" spans="1:10" s="61" customFormat="1" ht="18.899999999999999" customHeight="1" x14ac:dyDescent="0.35">
      <c r="A609" s="25"/>
      <c r="B609" s="1"/>
      <c r="C609" s="22"/>
      <c r="D609" s="1"/>
      <c r="E609" s="22"/>
      <c r="F609" s="22"/>
      <c r="G609"/>
      <c r="H609" s="22"/>
      <c r="I609" s="22"/>
      <c r="J609" s="25"/>
    </row>
    <row r="610" spans="1:10" s="61" customFormat="1" ht="18.899999999999999" customHeight="1" x14ac:dyDescent="0.35">
      <c r="A610" s="25"/>
      <c r="B610" s="1"/>
      <c r="C610" s="22"/>
      <c r="D610" s="1"/>
      <c r="E610" s="22"/>
      <c r="F610" s="22"/>
      <c r="G610"/>
      <c r="H610" s="22"/>
      <c r="I610" s="22"/>
      <c r="J610" s="25"/>
    </row>
    <row r="611" spans="1:10" s="61" customFormat="1" ht="18.899999999999999" customHeight="1" x14ac:dyDescent="0.35">
      <c r="A611" s="25"/>
      <c r="B611" s="1"/>
      <c r="C611" s="22"/>
      <c r="D611" s="1"/>
      <c r="E611" s="22"/>
      <c r="F611" s="22"/>
      <c r="G611"/>
      <c r="H611" s="22"/>
      <c r="I611" s="22"/>
      <c r="J611" s="25"/>
    </row>
    <row r="612" spans="1:10" s="61" customFormat="1" ht="18.899999999999999" customHeight="1" x14ac:dyDescent="0.35">
      <c r="A612" s="25"/>
      <c r="B612" s="1"/>
      <c r="C612" s="22"/>
      <c r="D612" s="1"/>
      <c r="E612" s="22"/>
      <c r="F612" s="22"/>
      <c r="G612"/>
      <c r="H612" s="22"/>
      <c r="I612" s="22"/>
      <c r="J612" s="20"/>
    </row>
    <row r="613" spans="1:10" s="61" customFormat="1" ht="18.899999999999999" customHeight="1" x14ac:dyDescent="0.35">
      <c r="A613" s="25"/>
      <c r="B613" s="1"/>
      <c r="C613" s="22"/>
      <c r="D613" s="1"/>
      <c r="E613" s="22"/>
      <c r="F613" s="22"/>
      <c r="G613"/>
      <c r="H613" s="22"/>
      <c r="I613" s="22"/>
      <c r="J613" s="23"/>
    </row>
    <row r="614" spans="1:10" s="61" customFormat="1" ht="18.899999999999999" customHeight="1" x14ac:dyDescent="0.35">
      <c r="A614" s="25"/>
      <c r="B614" s="1"/>
      <c r="C614" s="22"/>
      <c r="D614" s="1"/>
      <c r="E614" s="22"/>
      <c r="F614" s="22"/>
      <c r="G614"/>
      <c r="H614" s="22"/>
      <c r="I614" s="22"/>
      <c r="J614" s="23"/>
    </row>
    <row r="615" spans="1:10" s="61" customFormat="1" ht="18.899999999999999" customHeight="1" x14ac:dyDescent="0.35">
      <c r="A615" s="25"/>
      <c r="B615" s="1"/>
      <c r="C615" s="22"/>
      <c r="D615" s="1"/>
      <c r="E615" s="22"/>
      <c r="F615" s="22"/>
      <c r="G615"/>
      <c r="H615" s="22"/>
      <c r="I615" s="22"/>
      <c r="J615" s="23"/>
    </row>
    <row r="616" spans="1:10" s="61" customFormat="1" ht="18.899999999999999" customHeight="1" x14ac:dyDescent="0.35">
      <c r="A616" s="25"/>
      <c r="B616" s="1"/>
      <c r="C616" s="22"/>
      <c r="D616" s="1"/>
      <c r="E616" s="22"/>
      <c r="F616" s="22"/>
      <c r="G616"/>
      <c r="H616" s="22"/>
      <c r="I616" s="22"/>
      <c r="J616" s="23"/>
    </row>
    <row r="617" spans="1:10" s="61" customFormat="1" ht="18.899999999999999" customHeight="1" x14ac:dyDescent="0.35">
      <c r="A617" s="25"/>
      <c r="B617" s="1"/>
      <c r="C617" s="22"/>
      <c r="D617" s="1"/>
      <c r="E617" s="22"/>
      <c r="F617" s="22"/>
      <c r="G617"/>
      <c r="H617" s="22"/>
      <c r="I617" s="22"/>
      <c r="J617" s="23"/>
    </row>
    <row r="618" spans="1:10" s="61" customFormat="1" ht="18.899999999999999" customHeight="1" x14ac:dyDescent="0.35">
      <c r="A618" s="25"/>
      <c r="B618" s="1"/>
      <c r="C618" s="22"/>
      <c r="D618" s="1"/>
      <c r="E618" s="22"/>
      <c r="F618" s="22"/>
      <c r="G618"/>
      <c r="H618" s="22"/>
      <c r="I618" s="22"/>
      <c r="J618" s="23"/>
    </row>
    <row r="619" spans="1:10" s="61" customFormat="1" ht="18.899999999999999" customHeight="1" x14ac:dyDescent="0.35">
      <c r="A619" s="25"/>
      <c r="B619" s="1"/>
      <c r="C619" s="22"/>
      <c r="D619" s="1"/>
      <c r="E619" s="22"/>
      <c r="F619" s="22"/>
      <c r="G619"/>
      <c r="H619" s="22"/>
      <c r="I619" s="22"/>
      <c r="J619" s="23"/>
    </row>
    <row r="620" spans="1:10" s="61" customFormat="1" ht="18.899999999999999" customHeight="1" x14ac:dyDescent="0.35">
      <c r="A620" s="25"/>
      <c r="B620" s="1"/>
      <c r="C620" s="22"/>
      <c r="D620" s="1"/>
      <c r="E620" s="22"/>
      <c r="F620" s="22"/>
      <c r="G620"/>
      <c r="H620" s="22"/>
      <c r="I620" s="22"/>
      <c r="J620" s="23"/>
    </row>
    <row r="621" spans="1:10" s="61" customFormat="1" ht="18.899999999999999" customHeight="1" x14ac:dyDescent="0.35">
      <c r="A621" s="25"/>
      <c r="B621" s="1"/>
      <c r="C621" s="22"/>
      <c r="D621" s="1"/>
      <c r="E621" s="22"/>
      <c r="F621" s="22"/>
      <c r="G621"/>
      <c r="H621" s="22"/>
      <c r="I621" s="22"/>
      <c r="J621" s="23"/>
    </row>
    <row r="622" spans="1:10" s="61" customFormat="1" ht="18.899999999999999" customHeight="1" x14ac:dyDescent="0.35">
      <c r="A622" s="25"/>
      <c r="B622" s="1"/>
      <c r="C622" s="22"/>
      <c r="D622" s="1"/>
      <c r="E622" s="22"/>
      <c r="F622" s="22"/>
      <c r="G622"/>
      <c r="H622" s="22"/>
      <c r="I622" s="22"/>
      <c r="J622" s="23"/>
    </row>
    <row r="623" spans="1:10" s="61" customFormat="1" ht="18.899999999999999" customHeight="1" x14ac:dyDescent="0.35">
      <c r="A623" s="25"/>
      <c r="B623" s="1"/>
      <c r="C623" s="22"/>
      <c r="D623" s="1"/>
      <c r="E623" s="22"/>
      <c r="F623" s="22"/>
      <c r="G623"/>
      <c r="H623" s="22"/>
      <c r="I623" s="22"/>
      <c r="J623" s="23"/>
    </row>
    <row r="624" spans="1:10" s="61" customFormat="1" ht="18.899999999999999" customHeight="1" x14ac:dyDescent="0.35">
      <c r="A624" s="25"/>
      <c r="B624" s="1"/>
      <c r="C624" s="22"/>
      <c r="D624" s="1"/>
      <c r="E624" s="22"/>
      <c r="F624" s="22"/>
      <c r="G624"/>
      <c r="H624" s="22"/>
      <c r="I624" s="22"/>
      <c r="J624" s="23"/>
    </row>
    <row r="625" spans="1:10" s="61" customFormat="1" ht="18.899999999999999" customHeight="1" x14ac:dyDescent="0.35">
      <c r="A625" s="25"/>
      <c r="B625" s="1"/>
      <c r="C625" s="22"/>
      <c r="D625" s="1"/>
      <c r="E625" s="22"/>
      <c r="F625" s="22"/>
      <c r="G625"/>
      <c r="H625" s="22"/>
      <c r="I625" s="22"/>
      <c r="J625" s="23"/>
    </row>
    <row r="626" spans="1:10" s="61" customFormat="1" ht="18.899999999999999" customHeight="1" x14ac:dyDescent="0.35">
      <c r="A626" s="25"/>
      <c r="B626" s="1"/>
      <c r="C626" s="22"/>
      <c r="D626" s="1"/>
      <c r="E626" s="22"/>
      <c r="F626" s="22"/>
      <c r="G626"/>
      <c r="H626" s="22"/>
      <c r="I626" s="22"/>
      <c r="J626" s="23"/>
    </row>
    <row r="627" spans="1:10" s="61" customFormat="1" ht="18.899999999999999" customHeight="1" x14ac:dyDescent="0.35">
      <c r="A627" s="25"/>
      <c r="B627" s="1"/>
      <c r="C627" s="22"/>
      <c r="D627" s="1"/>
      <c r="E627" s="22"/>
      <c r="F627" s="22"/>
      <c r="G627"/>
      <c r="H627" s="22"/>
      <c r="I627" s="22"/>
      <c r="J627" s="23"/>
    </row>
    <row r="628" spans="1:10" s="61" customFormat="1" ht="18.899999999999999" customHeight="1" x14ac:dyDescent="0.35">
      <c r="A628" s="25"/>
      <c r="B628" s="1"/>
      <c r="C628" s="22"/>
      <c r="D628" s="1"/>
      <c r="E628" s="22"/>
      <c r="F628" s="22"/>
      <c r="G628"/>
      <c r="H628" s="22"/>
      <c r="I628" s="22"/>
      <c r="J628" s="23"/>
    </row>
    <row r="629" spans="1:10" s="61" customFormat="1" ht="18.899999999999999" customHeight="1" x14ac:dyDescent="0.35">
      <c r="A629" s="25"/>
      <c r="B629" s="1"/>
      <c r="C629" s="22"/>
      <c r="D629" s="1"/>
      <c r="E629" s="22"/>
      <c r="F629" s="22"/>
      <c r="G629"/>
      <c r="H629" s="22"/>
      <c r="I629" s="22"/>
      <c r="J629" s="23"/>
    </row>
    <row r="630" spans="1:10" s="61" customFormat="1" ht="18.899999999999999" customHeight="1" x14ac:dyDescent="0.35">
      <c r="A630" s="25"/>
      <c r="B630" s="1"/>
      <c r="C630" s="22"/>
      <c r="D630" s="1"/>
      <c r="E630" s="22"/>
      <c r="F630" s="22"/>
      <c r="G630"/>
      <c r="H630" s="22"/>
      <c r="I630" s="22"/>
      <c r="J630" s="23"/>
    </row>
    <row r="631" spans="1:10" s="61" customFormat="1" ht="18.899999999999999" customHeight="1" x14ac:dyDescent="0.35">
      <c r="A631" s="25"/>
      <c r="B631" s="1"/>
      <c r="C631" s="22"/>
      <c r="D631" s="1"/>
      <c r="E631" s="22"/>
      <c r="F631" s="22"/>
      <c r="G631"/>
      <c r="H631" s="22"/>
      <c r="I631" s="22"/>
      <c r="J631" s="23"/>
    </row>
    <row r="632" spans="1:10" s="61" customFormat="1" ht="18.899999999999999" customHeight="1" x14ac:dyDescent="0.35">
      <c r="A632" s="25"/>
      <c r="B632" s="1"/>
      <c r="C632" s="22"/>
      <c r="D632" s="1"/>
      <c r="E632" s="22"/>
      <c r="F632" s="22"/>
      <c r="G632"/>
      <c r="H632" s="22"/>
      <c r="I632" s="22"/>
      <c r="J632" s="23"/>
    </row>
    <row r="633" spans="1:10" s="61" customFormat="1" ht="18.899999999999999" customHeight="1" x14ac:dyDescent="0.35">
      <c r="A633" s="25"/>
      <c r="B633" s="1"/>
      <c r="C633" s="22"/>
      <c r="D633" s="1"/>
      <c r="E633" s="22"/>
      <c r="F633" s="22"/>
      <c r="G633"/>
      <c r="H633" s="22"/>
      <c r="I633" s="22"/>
      <c r="J633" s="23"/>
    </row>
    <row r="634" spans="1:10" s="61" customFormat="1" ht="18.899999999999999" customHeight="1" x14ac:dyDescent="0.35">
      <c r="A634" s="25"/>
      <c r="B634" s="1"/>
      <c r="C634" s="22"/>
      <c r="D634" s="1"/>
      <c r="E634" s="22"/>
      <c r="F634" s="22"/>
      <c r="G634"/>
      <c r="H634" s="22"/>
      <c r="I634" s="22"/>
      <c r="J634" s="23"/>
    </row>
    <row r="635" spans="1:10" s="61" customFormat="1" ht="18.899999999999999" customHeight="1" x14ac:dyDescent="0.35">
      <c r="A635" s="25"/>
      <c r="B635" s="1"/>
      <c r="C635" s="22"/>
      <c r="D635" s="1"/>
      <c r="E635" s="22"/>
      <c r="F635" s="22"/>
      <c r="G635"/>
      <c r="H635" s="22"/>
      <c r="I635" s="22"/>
      <c r="J635" s="23"/>
    </row>
    <row r="636" spans="1:10" s="61" customFormat="1" ht="18.899999999999999" customHeight="1" x14ac:dyDescent="0.35">
      <c r="A636" s="25"/>
      <c r="B636" s="1"/>
      <c r="C636" s="22"/>
      <c r="D636" s="1"/>
      <c r="E636" s="22"/>
      <c r="F636" s="22"/>
      <c r="G636"/>
      <c r="H636" s="22"/>
      <c r="I636" s="22"/>
      <c r="J636" s="23"/>
    </row>
    <row r="637" spans="1:10" s="61" customFormat="1" ht="18.899999999999999" customHeight="1" x14ac:dyDescent="0.35">
      <c r="A637" s="25"/>
      <c r="B637" s="1"/>
      <c r="C637" s="22"/>
      <c r="D637" s="1"/>
      <c r="E637" s="22"/>
      <c r="F637" s="22"/>
      <c r="G637"/>
      <c r="H637" s="22"/>
      <c r="I637" s="22"/>
      <c r="J637" s="23"/>
    </row>
    <row r="638" spans="1:10" s="61" customFormat="1" ht="18.899999999999999" customHeight="1" x14ac:dyDescent="0.35">
      <c r="A638" s="25"/>
      <c r="B638" s="1"/>
      <c r="C638" s="22"/>
      <c r="D638" s="1"/>
      <c r="E638" s="22"/>
      <c r="F638" s="22"/>
      <c r="G638"/>
      <c r="H638" s="22"/>
      <c r="I638" s="22"/>
      <c r="J638" s="23"/>
    </row>
    <row r="639" spans="1:10" s="61" customFormat="1" ht="18.899999999999999" customHeight="1" x14ac:dyDescent="0.35">
      <c r="A639" s="25"/>
      <c r="B639" s="1"/>
      <c r="C639" s="22"/>
      <c r="D639" s="1"/>
      <c r="E639" s="22"/>
      <c r="F639" s="22"/>
      <c r="G639"/>
      <c r="H639" s="22"/>
      <c r="I639" s="22"/>
      <c r="J639" s="23"/>
    </row>
    <row r="640" spans="1:10" s="61" customFormat="1" ht="18.899999999999999" customHeight="1" x14ac:dyDescent="0.35">
      <c r="A640" s="25"/>
      <c r="B640" s="1"/>
      <c r="C640" s="22"/>
      <c r="D640" s="1"/>
      <c r="E640" s="22"/>
      <c r="F640" s="22"/>
      <c r="G640"/>
      <c r="H640" s="22"/>
      <c r="I640" s="22"/>
      <c r="J640" s="23"/>
    </row>
    <row r="641" spans="1:10" s="61" customFormat="1" ht="18.899999999999999" customHeight="1" x14ac:dyDescent="0.35">
      <c r="A641" s="25"/>
      <c r="B641" s="1"/>
      <c r="C641" s="22"/>
      <c r="D641" s="1"/>
      <c r="E641" s="22"/>
      <c r="F641" s="22"/>
      <c r="G641"/>
      <c r="H641" s="22"/>
      <c r="I641" s="22"/>
      <c r="J641" s="23"/>
    </row>
    <row r="642" spans="1:10" s="61" customFormat="1" ht="18.899999999999999" customHeight="1" x14ac:dyDescent="0.35">
      <c r="A642" s="25"/>
      <c r="B642" s="1"/>
      <c r="C642" s="22"/>
      <c r="D642" s="1"/>
      <c r="E642" s="22"/>
      <c r="F642" s="22"/>
      <c r="G642"/>
      <c r="H642" s="22"/>
      <c r="I642" s="22"/>
      <c r="J642" s="23"/>
    </row>
    <row r="643" spans="1:10" s="61" customFormat="1" ht="18.899999999999999" customHeight="1" x14ac:dyDescent="0.35">
      <c r="A643" s="25"/>
      <c r="B643" s="1"/>
      <c r="C643" s="22"/>
      <c r="D643" s="1"/>
      <c r="E643" s="22"/>
      <c r="F643" s="22"/>
      <c r="G643"/>
      <c r="H643" s="22"/>
      <c r="I643" s="22"/>
      <c r="J643" s="23"/>
    </row>
    <row r="644" spans="1:10" s="61" customFormat="1" ht="18.899999999999999" customHeight="1" x14ac:dyDescent="0.35">
      <c r="A644" s="25"/>
      <c r="B644" s="1"/>
      <c r="C644" s="22"/>
      <c r="D644" s="1"/>
      <c r="E644" s="22"/>
      <c r="F644" s="22"/>
      <c r="G644"/>
      <c r="H644" s="22"/>
      <c r="I644" s="22"/>
      <c r="J644" s="23"/>
    </row>
    <row r="645" spans="1:10" s="61" customFormat="1" ht="18.899999999999999" customHeight="1" x14ac:dyDescent="0.35">
      <c r="A645" s="25"/>
      <c r="B645" s="1"/>
      <c r="C645" s="22"/>
      <c r="D645" s="1"/>
      <c r="E645" s="22"/>
      <c r="F645" s="22"/>
      <c r="G645"/>
      <c r="H645" s="22"/>
      <c r="I645" s="22"/>
      <c r="J645" s="23"/>
    </row>
    <row r="646" spans="1:10" s="61" customFormat="1" ht="18.899999999999999" customHeight="1" x14ac:dyDescent="0.35">
      <c r="A646" s="25"/>
      <c r="B646" s="1"/>
      <c r="C646" s="22"/>
      <c r="D646" s="1"/>
      <c r="E646" s="22"/>
      <c r="F646" s="22"/>
      <c r="G646"/>
      <c r="H646" s="22"/>
      <c r="I646" s="22"/>
      <c r="J646" s="23"/>
    </row>
    <row r="647" spans="1:10" s="61" customFormat="1" ht="18.899999999999999" customHeight="1" x14ac:dyDescent="0.35">
      <c r="A647" s="25"/>
      <c r="B647" s="1"/>
      <c r="C647" s="22"/>
      <c r="D647" s="1"/>
      <c r="E647" s="22"/>
      <c r="F647" s="22"/>
      <c r="G647"/>
      <c r="H647" s="22"/>
      <c r="I647" s="22"/>
      <c r="J647" s="23"/>
    </row>
    <row r="648" spans="1:10" s="61" customFormat="1" ht="18.899999999999999" customHeight="1" x14ac:dyDescent="0.35">
      <c r="A648" s="25"/>
      <c r="B648" s="1"/>
      <c r="C648" s="22"/>
      <c r="D648" s="1"/>
      <c r="E648" s="22"/>
      <c r="F648" s="22"/>
      <c r="G648"/>
      <c r="H648" s="22"/>
      <c r="I648" s="22"/>
      <c r="J648" s="23"/>
    </row>
    <row r="649" spans="1:10" s="61" customFormat="1" ht="18.899999999999999" customHeight="1" x14ac:dyDescent="0.35">
      <c r="A649" s="25"/>
      <c r="B649" s="1"/>
      <c r="C649" s="22"/>
      <c r="D649" s="1"/>
      <c r="E649" s="22"/>
      <c r="F649" s="22"/>
      <c r="G649"/>
      <c r="H649" s="22"/>
      <c r="I649" s="22"/>
      <c r="J649" s="23"/>
    </row>
    <row r="650" spans="1:10" s="61" customFormat="1" ht="18.899999999999999" customHeight="1" x14ac:dyDescent="0.35">
      <c r="A650" s="25"/>
      <c r="B650" s="1"/>
      <c r="C650" s="22"/>
      <c r="D650" s="1"/>
      <c r="E650" s="22"/>
      <c r="F650" s="22"/>
      <c r="G650"/>
      <c r="H650" s="22"/>
      <c r="I650" s="22"/>
      <c r="J650" s="23"/>
    </row>
    <row r="651" spans="1:10" s="61" customFormat="1" ht="18.899999999999999" customHeight="1" x14ac:dyDescent="0.35">
      <c r="A651" s="25"/>
      <c r="B651" s="1"/>
      <c r="C651" s="22"/>
      <c r="D651" s="1"/>
      <c r="E651" s="22"/>
      <c r="F651" s="22"/>
      <c r="G651"/>
      <c r="H651" s="22"/>
      <c r="I651" s="22"/>
      <c r="J651" s="23"/>
    </row>
    <row r="652" spans="1:10" s="61" customFormat="1" ht="18.899999999999999" customHeight="1" x14ac:dyDescent="0.35">
      <c r="A652" s="25"/>
      <c r="B652" s="1"/>
      <c r="C652" s="22"/>
      <c r="D652" s="1"/>
      <c r="E652" s="22"/>
      <c r="F652" s="22"/>
      <c r="G652"/>
      <c r="H652" s="22"/>
      <c r="I652" s="22"/>
      <c r="J652" s="23"/>
    </row>
    <row r="653" spans="1:10" s="61" customFormat="1" ht="18.899999999999999" customHeight="1" x14ac:dyDescent="0.35">
      <c r="A653" s="25"/>
      <c r="B653" s="1"/>
      <c r="C653" s="22"/>
      <c r="D653" s="1"/>
      <c r="E653" s="22"/>
      <c r="F653" s="22"/>
      <c r="G653"/>
      <c r="H653" s="22"/>
      <c r="I653" s="22"/>
      <c r="J653" s="23"/>
    </row>
    <row r="654" spans="1:10" s="61" customFormat="1" ht="18.899999999999999" customHeight="1" x14ac:dyDescent="0.35">
      <c r="A654" s="25"/>
      <c r="B654" s="1"/>
      <c r="C654" s="22"/>
      <c r="D654" s="1"/>
      <c r="E654" s="22"/>
      <c r="F654" s="22"/>
      <c r="G654"/>
      <c r="H654" s="22"/>
      <c r="I654" s="22"/>
      <c r="J654" s="23"/>
    </row>
    <row r="655" spans="1:10" s="61" customFormat="1" ht="18.899999999999999" customHeight="1" x14ac:dyDescent="0.35">
      <c r="A655" s="25"/>
      <c r="B655" s="1"/>
      <c r="C655" s="22"/>
      <c r="D655" s="1"/>
      <c r="E655" s="22"/>
      <c r="F655" s="22"/>
      <c r="G655"/>
      <c r="H655" s="22"/>
      <c r="I655" s="22"/>
      <c r="J655" s="23"/>
    </row>
    <row r="656" spans="1:10" s="61" customFormat="1" ht="18.899999999999999" customHeight="1" x14ac:dyDescent="0.35">
      <c r="A656" s="25"/>
      <c r="B656" s="1"/>
      <c r="C656" s="22"/>
      <c r="D656" s="1"/>
      <c r="E656" s="22"/>
      <c r="F656" s="22"/>
      <c r="G656"/>
      <c r="H656" s="22"/>
      <c r="I656" s="22"/>
      <c r="J656" s="23"/>
    </row>
    <row r="657" spans="1:10" s="61" customFormat="1" ht="18.899999999999999" customHeight="1" x14ac:dyDescent="0.35">
      <c r="A657" s="25"/>
      <c r="B657" s="1"/>
      <c r="C657" s="22"/>
      <c r="D657" s="1"/>
      <c r="E657" s="22"/>
      <c r="F657" s="22"/>
      <c r="G657"/>
      <c r="H657" s="22"/>
      <c r="I657" s="22"/>
      <c r="J657" s="23"/>
    </row>
    <row r="658" spans="1:10" s="61" customFormat="1" ht="18.899999999999999" customHeight="1" x14ac:dyDescent="0.35">
      <c r="A658" s="25"/>
      <c r="B658" s="1"/>
      <c r="C658" s="22"/>
      <c r="D658" s="1"/>
      <c r="E658" s="22"/>
      <c r="F658" s="22"/>
      <c r="G658"/>
      <c r="H658" s="22"/>
      <c r="I658" s="22"/>
      <c r="J658" s="23"/>
    </row>
    <row r="659" spans="1:10" s="61" customFormat="1" ht="18.899999999999999" customHeight="1" x14ac:dyDescent="0.35">
      <c r="A659" s="25"/>
      <c r="B659" s="1"/>
      <c r="C659" s="22"/>
      <c r="D659" s="1"/>
      <c r="E659" s="22"/>
      <c r="F659" s="22"/>
      <c r="G659"/>
      <c r="H659" s="22"/>
      <c r="I659" s="22"/>
      <c r="J659" s="23"/>
    </row>
    <row r="660" spans="1:10" s="61" customFormat="1" ht="18.899999999999999" customHeight="1" x14ac:dyDescent="0.35">
      <c r="A660" s="25"/>
      <c r="B660" s="1"/>
      <c r="C660" s="22"/>
      <c r="D660" s="1"/>
      <c r="E660" s="22"/>
      <c r="F660" s="22"/>
      <c r="G660"/>
      <c r="H660" s="22"/>
      <c r="I660" s="22"/>
      <c r="J660" s="23"/>
    </row>
    <row r="661" spans="1:10" s="61" customFormat="1" ht="18.899999999999999" customHeight="1" x14ac:dyDescent="0.35">
      <c r="A661" s="25"/>
      <c r="B661" s="1"/>
      <c r="C661" s="22"/>
      <c r="D661" s="1"/>
      <c r="E661" s="22"/>
      <c r="F661" s="22"/>
      <c r="G661"/>
      <c r="H661" s="22"/>
      <c r="I661" s="22"/>
      <c r="J661" s="23"/>
    </row>
    <row r="662" spans="1:10" s="61" customFormat="1" ht="18.899999999999999" customHeight="1" x14ac:dyDescent="0.35">
      <c r="A662" s="25"/>
      <c r="B662" s="1"/>
      <c r="C662" s="22"/>
      <c r="D662" s="1"/>
      <c r="E662" s="22"/>
      <c r="F662" s="22"/>
      <c r="G662"/>
      <c r="H662" s="22"/>
      <c r="I662" s="22"/>
      <c r="J662" s="23"/>
    </row>
    <row r="663" spans="1:10" s="61" customFormat="1" ht="18.899999999999999" customHeight="1" x14ac:dyDescent="0.35">
      <c r="A663" s="25"/>
      <c r="B663" s="1"/>
      <c r="C663" s="22"/>
      <c r="D663" s="1"/>
      <c r="E663" s="22"/>
      <c r="F663" s="22"/>
      <c r="G663"/>
      <c r="H663" s="22"/>
      <c r="I663" s="22"/>
      <c r="J663" s="23"/>
    </row>
    <row r="664" spans="1:10" s="61" customFormat="1" ht="18.899999999999999" customHeight="1" x14ac:dyDescent="0.35">
      <c r="A664" s="25"/>
      <c r="B664" s="1"/>
      <c r="C664" s="22"/>
      <c r="D664" s="1"/>
      <c r="E664" s="22"/>
      <c r="F664" s="22"/>
      <c r="G664"/>
      <c r="H664" s="22"/>
      <c r="I664" s="22"/>
      <c r="J664" s="23"/>
    </row>
    <row r="665" spans="1:10" s="61" customFormat="1" ht="18.899999999999999" customHeight="1" x14ac:dyDescent="0.35">
      <c r="A665" s="25"/>
      <c r="B665" s="1"/>
      <c r="C665" s="22"/>
      <c r="D665" s="1"/>
      <c r="E665" s="22"/>
      <c r="F665" s="22"/>
      <c r="G665"/>
      <c r="H665" s="22"/>
      <c r="I665" s="22"/>
      <c r="J665" s="23"/>
    </row>
    <row r="666" spans="1:10" s="61" customFormat="1" ht="18.899999999999999" customHeight="1" x14ac:dyDescent="0.35">
      <c r="A666" s="25"/>
      <c r="B666" s="1"/>
      <c r="C666" s="22"/>
      <c r="D666" s="1"/>
      <c r="E666" s="22"/>
      <c r="F666" s="22"/>
      <c r="G666"/>
      <c r="H666" s="22"/>
      <c r="I666" s="22"/>
      <c r="J666" s="23"/>
    </row>
    <row r="667" spans="1:10" s="61" customFormat="1" ht="18.899999999999999" customHeight="1" x14ac:dyDescent="0.35">
      <c r="A667" s="25"/>
      <c r="B667" s="1"/>
      <c r="C667" s="22"/>
      <c r="D667" s="1"/>
      <c r="E667" s="22"/>
      <c r="F667" s="22"/>
      <c r="G667"/>
      <c r="H667" s="22"/>
      <c r="I667" s="22"/>
      <c r="J667" s="23"/>
    </row>
    <row r="668" spans="1:10" s="61" customFormat="1" ht="18.899999999999999" customHeight="1" x14ac:dyDescent="0.35">
      <c r="A668" s="25"/>
      <c r="B668" s="1"/>
      <c r="C668" s="22"/>
      <c r="D668" s="1"/>
      <c r="E668" s="22"/>
      <c r="F668" s="22"/>
      <c r="G668"/>
      <c r="H668" s="22"/>
      <c r="I668" s="22"/>
      <c r="J668" s="23"/>
    </row>
    <row r="669" spans="1:10" s="61" customFormat="1" ht="18.899999999999999" customHeight="1" x14ac:dyDescent="0.35">
      <c r="A669" s="25"/>
      <c r="B669" s="1"/>
      <c r="C669" s="22"/>
      <c r="D669" s="1"/>
      <c r="E669" s="22"/>
      <c r="F669" s="22"/>
      <c r="G669"/>
      <c r="H669" s="22"/>
      <c r="I669" s="22"/>
      <c r="J669" s="23"/>
    </row>
    <row r="670" spans="1:10" s="61" customFormat="1" ht="18.899999999999999" customHeight="1" x14ac:dyDescent="0.35">
      <c r="A670" s="25"/>
      <c r="B670" s="1"/>
      <c r="C670" s="22"/>
      <c r="D670" s="1"/>
      <c r="E670" s="22"/>
      <c r="F670" s="22"/>
      <c r="G670"/>
      <c r="H670" s="22"/>
      <c r="I670" s="22"/>
      <c r="J670" s="23"/>
    </row>
    <row r="671" spans="1:10" s="61" customFormat="1" ht="18.899999999999999" customHeight="1" x14ac:dyDescent="0.35">
      <c r="A671" s="25"/>
      <c r="B671" s="1"/>
      <c r="C671" s="22"/>
      <c r="D671" s="1"/>
      <c r="E671" s="22"/>
      <c r="F671" s="22"/>
      <c r="G671"/>
      <c r="H671" s="22"/>
      <c r="I671" s="22"/>
      <c r="J671" s="23"/>
    </row>
    <row r="672" spans="1:10" s="61" customFormat="1" ht="18.899999999999999" customHeight="1" x14ac:dyDescent="0.35">
      <c r="A672" s="25"/>
      <c r="B672" s="1"/>
      <c r="C672" s="22"/>
      <c r="D672" s="1"/>
      <c r="E672" s="22"/>
      <c r="F672" s="22"/>
      <c r="G672"/>
      <c r="H672" s="22"/>
      <c r="I672" s="22"/>
      <c r="J672" s="23"/>
    </row>
    <row r="673" spans="1:10" s="61" customFormat="1" ht="18.899999999999999" customHeight="1" x14ac:dyDescent="0.35">
      <c r="A673" s="25"/>
      <c r="B673" s="1"/>
      <c r="C673" s="22"/>
      <c r="D673" s="1"/>
      <c r="E673" s="22"/>
      <c r="F673" s="22"/>
      <c r="G673"/>
      <c r="H673" s="22"/>
      <c r="I673" s="22"/>
      <c r="J673" s="23"/>
    </row>
    <row r="674" spans="1:10" s="61" customFormat="1" ht="18.899999999999999" customHeight="1" x14ac:dyDescent="0.35">
      <c r="A674" s="25"/>
      <c r="B674" s="1"/>
      <c r="C674" s="22"/>
      <c r="D674" s="1"/>
      <c r="E674" s="22"/>
      <c r="F674" s="22"/>
      <c r="G674"/>
      <c r="H674" s="22"/>
      <c r="I674" s="22"/>
      <c r="J674" s="23"/>
    </row>
    <row r="675" spans="1:10" s="61" customFormat="1" ht="18.899999999999999" customHeight="1" x14ac:dyDescent="0.35">
      <c r="A675" s="25"/>
      <c r="B675" s="1"/>
      <c r="C675" s="22"/>
      <c r="D675" s="1"/>
      <c r="E675" s="22"/>
      <c r="F675" s="22"/>
      <c r="G675"/>
      <c r="H675" s="22"/>
      <c r="I675" s="22"/>
      <c r="J675" s="23"/>
    </row>
    <row r="676" spans="1:10" s="61" customFormat="1" ht="18.899999999999999" customHeight="1" x14ac:dyDescent="0.35">
      <c r="A676" s="25"/>
      <c r="B676" s="1"/>
      <c r="C676" s="22"/>
      <c r="D676" s="1"/>
      <c r="E676" s="22"/>
      <c r="F676" s="22"/>
      <c r="G676"/>
      <c r="H676" s="22"/>
      <c r="I676" s="22"/>
      <c r="J676" s="23"/>
    </row>
    <row r="677" spans="1:10" s="61" customFormat="1" ht="18.899999999999999" customHeight="1" x14ac:dyDescent="0.35">
      <c r="A677" s="25"/>
      <c r="B677" s="1"/>
      <c r="C677" s="22"/>
      <c r="D677" s="1"/>
      <c r="E677" s="22"/>
      <c r="F677" s="22"/>
      <c r="G677"/>
      <c r="H677" s="22"/>
      <c r="I677" s="22"/>
      <c r="J677" s="23"/>
    </row>
    <row r="678" spans="1:10" s="61" customFormat="1" ht="18.899999999999999" customHeight="1" x14ac:dyDescent="0.35">
      <c r="A678" s="25"/>
      <c r="B678" s="1"/>
      <c r="C678" s="22"/>
      <c r="D678" s="1"/>
      <c r="E678" s="22"/>
      <c r="F678" s="22"/>
      <c r="G678"/>
      <c r="H678" s="22"/>
      <c r="I678" s="22"/>
      <c r="J678" s="23"/>
    </row>
    <row r="679" spans="1:10" s="61" customFormat="1" ht="18.899999999999999" customHeight="1" x14ac:dyDescent="0.35">
      <c r="A679" s="25"/>
      <c r="B679" s="1"/>
      <c r="C679" s="22"/>
      <c r="D679" s="1"/>
      <c r="E679" s="22"/>
      <c r="F679" s="22"/>
      <c r="G679"/>
      <c r="H679" s="22"/>
      <c r="I679" s="22"/>
      <c r="J679" s="23"/>
    </row>
    <row r="680" spans="1:10" s="61" customFormat="1" ht="18.899999999999999" customHeight="1" x14ac:dyDescent="0.35">
      <c r="A680" s="25"/>
      <c r="B680" s="1"/>
      <c r="C680" s="22"/>
      <c r="D680" s="1"/>
      <c r="E680" s="22"/>
      <c r="F680" s="22"/>
      <c r="G680"/>
      <c r="H680" s="22"/>
      <c r="I680" s="22"/>
      <c r="J680" s="23"/>
    </row>
    <row r="681" spans="1:10" s="61" customFormat="1" ht="18.899999999999999" customHeight="1" x14ac:dyDescent="0.35">
      <c r="A681" s="25"/>
      <c r="B681" s="1"/>
      <c r="C681" s="22"/>
      <c r="D681" s="1"/>
      <c r="E681" s="22"/>
      <c r="F681" s="22"/>
      <c r="G681"/>
      <c r="H681" s="22"/>
      <c r="I681" s="22"/>
      <c r="J681" s="23"/>
    </row>
    <row r="682" spans="1:10" s="61" customFormat="1" ht="18.899999999999999" customHeight="1" x14ac:dyDescent="0.35">
      <c r="A682" s="25"/>
      <c r="B682" s="1"/>
      <c r="C682" s="22"/>
      <c r="D682" s="1"/>
      <c r="E682" s="22"/>
      <c r="F682" s="22"/>
      <c r="G682"/>
      <c r="H682" s="22"/>
      <c r="I682" s="22"/>
      <c r="J682" s="23"/>
    </row>
    <row r="683" spans="1:10" s="61" customFormat="1" ht="18.899999999999999" customHeight="1" x14ac:dyDescent="0.35">
      <c r="A683" s="25"/>
      <c r="B683" s="1"/>
      <c r="C683" s="22"/>
      <c r="D683" s="1"/>
      <c r="E683" s="22"/>
      <c r="F683" s="22"/>
      <c r="G683"/>
      <c r="H683" s="22"/>
      <c r="I683" s="22"/>
      <c r="J683" s="23"/>
    </row>
    <row r="684" spans="1:10" s="61" customFormat="1" ht="18.899999999999999" customHeight="1" x14ac:dyDescent="0.35">
      <c r="A684" s="25"/>
      <c r="B684" s="1"/>
      <c r="C684" s="22"/>
      <c r="D684" s="1"/>
      <c r="E684" s="22"/>
      <c r="F684" s="22"/>
      <c r="G684"/>
      <c r="H684" s="22"/>
      <c r="I684" s="22"/>
      <c r="J684" s="23"/>
    </row>
    <row r="685" spans="1:10" s="61" customFormat="1" ht="18.899999999999999" customHeight="1" x14ac:dyDescent="0.35">
      <c r="A685" s="25"/>
      <c r="B685" s="1"/>
      <c r="C685" s="22"/>
      <c r="D685" s="1"/>
      <c r="E685" s="22"/>
      <c r="F685" s="22"/>
      <c r="G685"/>
      <c r="H685" s="22"/>
      <c r="I685" s="22"/>
      <c r="J685" s="23"/>
    </row>
    <row r="686" spans="1:10" s="61" customFormat="1" ht="18.899999999999999" customHeight="1" x14ac:dyDescent="0.35">
      <c r="A686" s="25"/>
      <c r="B686" s="1"/>
      <c r="C686" s="22"/>
      <c r="D686" s="1"/>
      <c r="E686" s="22"/>
      <c r="F686" s="22"/>
      <c r="G686"/>
      <c r="H686" s="22"/>
      <c r="I686" s="22"/>
      <c r="J686" s="23"/>
    </row>
    <row r="687" spans="1:10" s="61" customFormat="1" ht="18.899999999999999" customHeight="1" x14ac:dyDescent="0.35">
      <c r="A687" s="25"/>
      <c r="B687" s="1"/>
      <c r="C687" s="22"/>
      <c r="D687" s="1"/>
      <c r="E687" s="22"/>
      <c r="F687" s="22"/>
      <c r="G687"/>
      <c r="H687" s="22"/>
      <c r="I687" s="22"/>
      <c r="J687" s="23"/>
    </row>
    <row r="688" spans="1:10" s="61" customFormat="1" ht="18.899999999999999" customHeight="1" x14ac:dyDescent="0.35">
      <c r="A688" s="25"/>
      <c r="B688" s="1"/>
      <c r="C688" s="22"/>
      <c r="D688" s="1"/>
      <c r="E688" s="22"/>
      <c r="F688" s="22"/>
      <c r="G688"/>
      <c r="H688" s="22"/>
      <c r="I688" s="22"/>
      <c r="J688" s="23"/>
    </row>
    <row r="689" spans="1:10" s="61" customFormat="1" ht="18.899999999999999" customHeight="1" x14ac:dyDescent="0.35">
      <c r="A689" s="25"/>
      <c r="B689" s="1"/>
      <c r="C689" s="22"/>
      <c r="D689" s="1"/>
      <c r="E689" s="22"/>
      <c r="F689" s="22"/>
      <c r="G689"/>
      <c r="H689" s="22"/>
      <c r="I689" s="22"/>
      <c r="J689" s="23"/>
    </row>
    <row r="690" spans="1:10" s="61" customFormat="1" ht="18.899999999999999" customHeight="1" x14ac:dyDescent="0.35">
      <c r="A690" s="25"/>
      <c r="B690" s="1"/>
      <c r="C690" s="22"/>
      <c r="D690" s="1"/>
      <c r="E690" s="22"/>
      <c r="F690" s="22"/>
      <c r="G690"/>
      <c r="H690" s="22"/>
      <c r="I690" s="22"/>
      <c r="J690" s="23"/>
    </row>
    <row r="691" spans="1:10" s="61" customFormat="1" ht="18.899999999999999" customHeight="1" x14ac:dyDescent="0.35">
      <c r="A691" s="25"/>
      <c r="B691" s="1"/>
      <c r="C691" s="22"/>
      <c r="D691" s="1"/>
      <c r="E691" s="22"/>
      <c r="F691" s="22"/>
      <c r="G691"/>
      <c r="H691" s="22"/>
      <c r="I691" s="22"/>
      <c r="J691" s="23"/>
    </row>
    <row r="692" spans="1:10" s="61" customFormat="1" ht="18.899999999999999" customHeight="1" x14ac:dyDescent="0.35">
      <c r="A692" s="25"/>
      <c r="B692" s="1"/>
      <c r="C692" s="22"/>
      <c r="D692" s="1"/>
      <c r="E692" s="22"/>
      <c r="F692" s="22"/>
      <c r="G692"/>
      <c r="H692" s="22"/>
      <c r="I692" s="22"/>
      <c r="J692" s="23"/>
    </row>
    <row r="693" spans="1:10" s="61" customFormat="1" ht="18.899999999999999" customHeight="1" x14ac:dyDescent="0.35">
      <c r="A693" s="25"/>
      <c r="B693" s="1"/>
      <c r="C693" s="22"/>
      <c r="D693" s="1"/>
      <c r="E693" s="22"/>
      <c r="F693" s="22"/>
      <c r="G693"/>
      <c r="H693" s="22"/>
      <c r="I693" s="22"/>
      <c r="J693" s="23"/>
    </row>
    <row r="694" spans="1:10" s="61" customFormat="1" ht="18.899999999999999" customHeight="1" x14ac:dyDescent="0.35">
      <c r="A694" s="25"/>
      <c r="B694" s="1"/>
      <c r="C694" s="22"/>
      <c r="D694" s="1"/>
      <c r="E694" s="22"/>
      <c r="F694" s="22"/>
      <c r="G694"/>
      <c r="H694" s="22"/>
      <c r="I694" s="22"/>
      <c r="J694" s="23"/>
    </row>
    <row r="695" spans="1:10" s="61" customFormat="1" ht="18.899999999999999" customHeight="1" x14ac:dyDescent="0.35">
      <c r="A695" s="25"/>
      <c r="B695" s="1"/>
      <c r="C695" s="22"/>
      <c r="D695" s="1"/>
      <c r="E695" s="22"/>
      <c r="F695" s="22"/>
      <c r="G695"/>
      <c r="H695" s="22"/>
      <c r="I695" s="22"/>
      <c r="J695" s="23"/>
    </row>
    <row r="696" spans="1:10" s="61" customFormat="1" ht="18.899999999999999" customHeight="1" x14ac:dyDescent="0.35">
      <c r="A696" s="25"/>
      <c r="B696" s="1"/>
      <c r="C696" s="22"/>
      <c r="D696" s="1"/>
      <c r="E696" s="22"/>
      <c r="F696" s="22"/>
      <c r="G696"/>
      <c r="H696" s="22"/>
      <c r="I696" s="22"/>
      <c r="J696" s="23"/>
    </row>
    <row r="697" spans="1:10" s="61" customFormat="1" ht="18.899999999999999" customHeight="1" x14ac:dyDescent="0.35">
      <c r="A697" s="25"/>
      <c r="B697" s="1"/>
      <c r="C697" s="22"/>
      <c r="D697" s="1"/>
      <c r="E697" s="22"/>
      <c r="F697" s="22"/>
      <c r="G697"/>
      <c r="H697" s="22"/>
      <c r="I697" s="22"/>
      <c r="J697" s="23"/>
    </row>
    <row r="698" spans="1:10" s="61" customFormat="1" ht="18.899999999999999" customHeight="1" x14ac:dyDescent="0.35">
      <c r="A698" s="25"/>
      <c r="B698" s="1"/>
      <c r="C698" s="22"/>
      <c r="D698" s="1"/>
      <c r="E698" s="22"/>
      <c r="F698" s="22"/>
      <c r="G698"/>
      <c r="H698" s="22"/>
      <c r="I698" s="22"/>
      <c r="J698" s="23"/>
    </row>
    <row r="699" spans="1:10" s="61" customFormat="1" ht="18.899999999999999" customHeight="1" x14ac:dyDescent="0.35">
      <c r="A699" s="25"/>
      <c r="B699" s="1"/>
      <c r="C699" s="22"/>
      <c r="D699" s="1"/>
      <c r="E699" s="22"/>
      <c r="F699" s="22"/>
      <c r="G699"/>
      <c r="H699" s="22"/>
      <c r="I699" s="22"/>
      <c r="J699" s="23"/>
    </row>
    <row r="700" spans="1:10" s="61" customFormat="1" ht="18.899999999999999" customHeight="1" x14ac:dyDescent="0.35">
      <c r="A700" s="25"/>
      <c r="B700" s="1"/>
      <c r="C700" s="22"/>
      <c r="D700" s="1"/>
      <c r="E700" s="22"/>
      <c r="F700" s="22"/>
      <c r="G700"/>
      <c r="H700" s="22"/>
      <c r="I700" s="22"/>
      <c r="J700" s="23"/>
    </row>
    <row r="701" spans="1:10" s="61" customFormat="1" ht="18.899999999999999" customHeight="1" x14ac:dyDescent="0.35">
      <c r="A701" s="25"/>
      <c r="B701" s="1"/>
      <c r="C701" s="22"/>
      <c r="D701" s="1"/>
      <c r="E701" s="22"/>
      <c r="F701" s="22"/>
      <c r="G701"/>
      <c r="H701" s="22"/>
      <c r="I701" s="22"/>
      <c r="J701" s="23"/>
    </row>
    <row r="702" spans="1:10" s="61" customFormat="1" ht="18.899999999999999" customHeight="1" x14ac:dyDescent="0.35">
      <c r="A702" s="25"/>
      <c r="B702" s="1"/>
      <c r="C702" s="22"/>
      <c r="D702" s="1"/>
      <c r="E702" s="22"/>
      <c r="F702" s="22"/>
      <c r="G702"/>
      <c r="H702" s="22"/>
      <c r="I702" s="22"/>
      <c r="J702" s="23"/>
    </row>
    <row r="703" spans="1:10" s="61" customFormat="1" ht="18.899999999999999" customHeight="1" x14ac:dyDescent="0.35">
      <c r="A703" s="25"/>
      <c r="B703" s="1"/>
      <c r="C703" s="22"/>
      <c r="D703" s="1"/>
      <c r="E703" s="22"/>
      <c r="F703" s="22"/>
      <c r="G703"/>
      <c r="H703" s="22"/>
      <c r="I703" s="22"/>
      <c r="J703" s="23"/>
    </row>
    <row r="704" spans="1:10" s="61" customFormat="1" ht="18.899999999999999" customHeight="1" x14ac:dyDescent="0.35">
      <c r="A704" s="25"/>
      <c r="B704" s="1"/>
      <c r="C704" s="22"/>
      <c r="D704" s="1"/>
      <c r="E704" s="22"/>
      <c r="F704" s="22"/>
      <c r="G704"/>
      <c r="H704" s="22"/>
      <c r="I704" s="22"/>
      <c r="J704" s="23"/>
    </row>
    <row r="705" spans="1:10" s="61" customFormat="1" ht="18.899999999999999" customHeight="1" x14ac:dyDescent="0.35">
      <c r="A705" s="25"/>
      <c r="B705" s="1"/>
      <c r="C705" s="22"/>
      <c r="D705" s="1"/>
      <c r="E705" s="22"/>
      <c r="F705" s="22"/>
      <c r="G705"/>
      <c r="H705" s="22"/>
      <c r="I705" s="22"/>
      <c r="J705" s="23"/>
    </row>
    <row r="706" spans="1:10" s="61" customFormat="1" ht="18.899999999999999" customHeight="1" x14ac:dyDescent="0.35">
      <c r="A706" s="25"/>
      <c r="B706" s="1"/>
      <c r="C706" s="22"/>
      <c r="D706" s="1"/>
      <c r="E706" s="22"/>
      <c r="F706" s="22"/>
      <c r="G706"/>
      <c r="H706" s="22"/>
      <c r="I706" s="22"/>
      <c r="J706" s="23"/>
    </row>
    <row r="707" spans="1:10" s="61" customFormat="1" ht="18.899999999999999" customHeight="1" x14ac:dyDescent="0.35">
      <c r="A707" s="25"/>
      <c r="B707" s="1"/>
      <c r="C707" s="22"/>
      <c r="D707" s="1"/>
      <c r="E707" s="22"/>
      <c r="F707" s="22"/>
      <c r="G707"/>
      <c r="H707" s="22"/>
      <c r="I707" s="22"/>
      <c r="J707" s="23"/>
    </row>
    <row r="708" spans="1:10" s="61" customFormat="1" ht="18.899999999999999" customHeight="1" x14ac:dyDescent="0.35">
      <c r="A708" s="25"/>
      <c r="B708" s="1"/>
      <c r="C708" s="22"/>
      <c r="D708" s="1"/>
      <c r="E708" s="22"/>
      <c r="F708" s="22"/>
      <c r="G708"/>
      <c r="H708" s="22"/>
      <c r="I708" s="22"/>
      <c r="J708" s="23"/>
    </row>
    <row r="709" spans="1:10" s="61" customFormat="1" ht="18.899999999999999" customHeight="1" x14ac:dyDescent="0.35">
      <c r="A709" s="25"/>
      <c r="B709" s="1"/>
      <c r="C709" s="22"/>
      <c r="D709" s="1"/>
      <c r="E709" s="22"/>
      <c r="F709" s="22"/>
      <c r="G709"/>
      <c r="H709" s="22"/>
      <c r="I709" s="22"/>
      <c r="J709" s="23"/>
    </row>
    <row r="710" spans="1:10" s="61" customFormat="1" ht="18.899999999999999" customHeight="1" x14ac:dyDescent="0.35">
      <c r="A710" s="25"/>
      <c r="B710" s="1"/>
      <c r="C710" s="22"/>
      <c r="D710" s="1"/>
      <c r="E710" s="22"/>
      <c r="F710" s="22"/>
      <c r="G710"/>
      <c r="H710" s="22"/>
      <c r="I710" s="22"/>
      <c r="J710" s="23"/>
    </row>
    <row r="711" spans="1:10" s="61" customFormat="1" ht="18.899999999999999" customHeight="1" x14ac:dyDescent="0.35">
      <c r="A711" s="25"/>
      <c r="B711" s="1"/>
      <c r="C711" s="22"/>
      <c r="D711" s="1"/>
      <c r="E711" s="22"/>
      <c r="F711" s="22"/>
      <c r="G711"/>
      <c r="H711" s="22"/>
      <c r="I711" s="22"/>
      <c r="J711" s="23"/>
    </row>
    <row r="712" spans="1:10" s="61" customFormat="1" ht="18.899999999999999" customHeight="1" x14ac:dyDescent="0.35">
      <c r="A712" s="25"/>
      <c r="B712" s="1"/>
      <c r="C712" s="22"/>
      <c r="D712" s="1"/>
      <c r="E712" s="22"/>
      <c r="F712" s="22"/>
      <c r="G712"/>
      <c r="H712" s="22"/>
      <c r="I712" s="22"/>
      <c r="J712" s="23"/>
    </row>
    <row r="713" spans="1:10" s="61" customFormat="1" ht="18.899999999999999" customHeight="1" x14ac:dyDescent="0.35">
      <c r="A713" s="25"/>
      <c r="B713" s="1"/>
      <c r="C713" s="22"/>
      <c r="D713" s="1"/>
      <c r="E713" s="22"/>
      <c r="F713" s="22"/>
      <c r="G713"/>
      <c r="H713" s="22"/>
      <c r="I713" s="22"/>
      <c r="J713" s="23"/>
    </row>
    <row r="714" spans="1:10" s="61" customFormat="1" ht="18.899999999999999" customHeight="1" x14ac:dyDescent="0.35">
      <c r="A714" s="25"/>
      <c r="B714" s="1"/>
      <c r="C714" s="22"/>
      <c r="D714" s="1"/>
      <c r="E714" s="22"/>
      <c r="F714" s="22"/>
      <c r="G714"/>
      <c r="H714" s="22"/>
      <c r="I714" s="22"/>
      <c r="J714" s="23"/>
    </row>
    <row r="715" spans="1:10" s="61" customFormat="1" ht="18.899999999999999" customHeight="1" x14ac:dyDescent="0.35">
      <c r="A715" s="25"/>
      <c r="B715" s="1"/>
      <c r="C715" s="22"/>
      <c r="D715" s="1"/>
      <c r="E715" s="22"/>
      <c r="F715" s="22"/>
      <c r="G715"/>
      <c r="H715" s="22"/>
      <c r="I715" s="22"/>
      <c r="J715" s="23"/>
    </row>
    <row r="716" spans="1:10" s="61" customFormat="1" ht="18.899999999999999" customHeight="1" x14ac:dyDescent="0.35">
      <c r="A716" s="25"/>
      <c r="B716" s="1"/>
      <c r="C716" s="22"/>
      <c r="D716" s="1"/>
      <c r="E716" s="22"/>
      <c r="F716" s="22"/>
      <c r="G716"/>
      <c r="H716" s="22"/>
      <c r="I716" s="22"/>
      <c r="J716" s="23"/>
    </row>
    <row r="717" spans="1:10" s="61" customFormat="1" ht="18.899999999999999" customHeight="1" x14ac:dyDescent="0.35">
      <c r="A717" s="25"/>
      <c r="B717" s="1"/>
      <c r="C717" s="22"/>
      <c r="D717" s="1"/>
      <c r="E717" s="22"/>
      <c r="F717" s="22"/>
      <c r="G717"/>
      <c r="H717" s="22"/>
      <c r="I717" s="22"/>
      <c r="J717" s="23"/>
    </row>
    <row r="718" spans="1:10" s="61" customFormat="1" ht="18.899999999999999" customHeight="1" x14ac:dyDescent="0.35">
      <c r="A718" s="25"/>
      <c r="B718" s="1"/>
      <c r="C718" s="22"/>
      <c r="D718" s="1"/>
      <c r="E718" s="22"/>
      <c r="F718" s="22"/>
      <c r="G718"/>
      <c r="H718" s="22"/>
      <c r="I718" s="22"/>
      <c r="J718" s="23"/>
    </row>
    <row r="719" spans="1:10" s="61" customFormat="1" ht="18.899999999999999" customHeight="1" x14ac:dyDescent="0.35">
      <c r="A719" s="25"/>
      <c r="B719" s="1"/>
      <c r="C719" s="22"/>
      <c r="D719" s="1"/>
      <c r="E719" s="22"/>
      <c r="F719" s="22"/>
      <c r="G719"/>
      <c r="H719" s="22"/>
      <c r="I719" s="22"/>
      <c r="J719" s="23"/>
    </row>
    <row r="720" spans="1:10" s="61" customFormat="1" ht="18.899999999999999" customHeight="1" x14ac:dyDescent="0.35">
      <c r="A720" s="25"/>
      <c r="B720" s="1"/>
      <c r="C720" s="22"/>
      <c r="D720" s="1"/>
      <c r="E720" s="22"/>
      <c r="F720" s="22"/>
      <c r="G720"/>
      <c r="H720" s="22"/>
      <c r="I720" s="22"/>
      <c r="J720" s="23"/>
    </row>
    <row r="721" spans="1:10" s="61" customFormat="1" ht="18.899999999999999" customHeight="1" x14ac:dyDescent="0.35">
      <c r="A721" s="25"/>
      <c r="B721" s="1"/>
      <c r="C721" s="22"/>
      <c r="D721" s="1"/>
      <c r="E721" s="22"/>
      <c r="F721" s="22"/>
      <c r="G721"/>
      <c r="H721" s="22"/>
      <c r="I721" s="22"/>
      <c r="J721" s="23"/>
    </row>
    <row r="722" spans="1:10" s="61" customFormat="1" ht="18.899999999999999" customHeight="1" x14ac:dyDescent="0.35">
      <c r="A722" s="25"/>
      <c r="B722" s="1"/>
      <c r="C722" s="22"/>
      <c r="D722" s="1"/>
      <c r="E722" s="22"/>
      <c r="F722" s="22"/>
      <c r="G722"/>
      <c r="H722" s="22"/>
      <c r="I722" s="22"/>
      <c r="J722" s="23"/>
    </row>
    <row r="723" spans="1:10" s="61" customFormat="1" ht="18.899999999999999" customHeight="1" x14ac:dyDescent="0.35">
      <c r="A723" s="25"/>
      <c r="B723" s="1"/>
      <c r="C723" s="22"/>
      <c r="D723" s="1"/>
      <c r="E723" s="22"/>
      <c r="F723" s="22"/>
      <c r="G723"/>
      <c r="H723" s="22"/>
      <c r="I723" s="22"/>
      <c r="J723" s="23"/>
    </row>
    <row r="724" spans="1:10" s="61" customFormat="1" ht="18.899999999999999" customHeight="1" x14ac:dyDescent="0.35">
      <c r="A724" s="25"/>
      <c r="B724" s="1"/>
      <c r="C724" s="22"/>
      <c r="D724" s="1"/>
      <c r="E724" s="22"/>
      <c r="F724" s="22"/>
      <c r="G724"/>
      <c r="H724" s="22"/>
      <c r="I724" s="22"/>
      <c r="J724" s="23"/>
    </row>
    <row r="725" spans="1:10" s="61" customFormat="1" ht="18.899999999999999" customHeight="1" x14ac:dyDescent="0.35">
      <c r="A725" s="25"/>
      <c r="B725" s="1"/>
      <c r="C725" s="22"/>
      <c r="D725" s="1"/>
      <c r="E725" s="22"/>
      <c r="F725" s="22"/>
      <c r="G725"/>
      <c r="H725" s="22"/>
      <c r="I725" s="22"/>
      <c r="J725" s="23"/>
    </row>
    <row r="726" spans="1:10" s="61" customFormat="1" ht="18.899999999999999" customHeight="1" x14ac:dyDescent="0.35">
      <c r="A726" s="25"/>
      <c r="B726" s="1"/>
      <c r="C726" s="22"/>
      <c r="D726" s="1"/>
      <c r="E726" s="22"/>
      <c r="F726" s="22"/>
      <c r="G726"/>
      <c r="H726" s="22"/>
      <c r="I726" s="22"/>
      <c r="J726" s="23"/>
    </row>
    <row r="727" spans="1:10" s="61" customFormat="1" ht="18.899999999999999" customHeight="1" x14ac:dyDescent="0.35">
      <c r="A727" s="25"/>
      <c r="B727" s="1"/>
      <c r="C727" s="22"/>
      <c r="D727" s="1"/>
      <c r="E727" s="22"/>
      <c r="F727" s="22"/>
      <c r="G727"/>
      <c r="H727" s="22"/>
      <c r="I727" s="22"/>
      <c r="J727" s="23"/>
    </row>
    <row r="728" spans="1:10" s="61" customFormat="1" ht="18.899999999999999" customHeight="1" x14ac:dyDescent="0.35">
      <c r="A728" s="25"/>
      <c r="B728" s="1"/>
      <c r="C728" s="22"/>
      <c r="D728" s="1"/>
      <c r="E728" s="22"/>
      <c r="F728" s="22"/>
      <c r="G728"/>
      <c r="H728" s="22"/>
      <c r="I728" s="22"/>
      <c r="J728" s="23"/>
    </row>
    <row r="729" spans="1:10" s="61" customFormat="1" ht="18.899999999999999" customHeight="1" x14ac:dyDescent="0.35">
      <c r="A729" s="25"/>
      <c r="B729" s="1"/>
      <c r="C729" s="22"/>
      <c r="D729" s="1"/>
      <c r="E729" s="22"/>
      <c r="F729" s="22"/>
      <c r="G729"/>
      <c r="H729" s="22"/>
      <c r="I729" s="22"/>
      <c r="J729" s="23"/>
    </row>
    <row r="730" spans="1:10" s="61" customFormat="1" ht="18.899999999999999" customHeight="1" x14ac:dyDescent="0.35">
      <c r="A730" s="25"/>
      <c r="B730" s="1"/>
      <c r="C730" s="22"/>
      <c r="D730" s="1"/>
      <c r="E730" s="22"/>
      <c r="F730" s="22"/>
      <c r="G730"/>
      <c r="H730" s="22"/>
      <c r="I730" s="22"/>
      <c r="J730" s="23"/>
    </row>
    <row r="731" spans="1:10" s="61" customFormat="1" ht="18.899999999999999" customHeight="1" x14ac:dyDescent="0.35">
      <c r="A731" s="25"/>
      <c r="B731" s="1"/>
      <c r="C731" s="22"/>
      <c r="D731" s="1"/>
      <c r="E731" s="22"/>
      <c r="F731" s="22"/>
      <c r="G731"/>
      <c r="H731" s="22"/>
      <c r="I731" s="22"/>
      <c r="J731" s="23"/>
    </row>
    <row r="732" spans="1:10" s="61" customFormat="1" ht="18.899999999999999" customHeight="1" x14ac:dyDescent="0.35">
      <c r="A732" s="25"/>
      <c r="B732" s="1"/>
      <c r="C732" s="22"/>
      <c r="D732" s="1"/>
      <c r="E732" s="22"/>
      <c r="F732" s="22"/>
      <c r="G732"/>
      <c r="H732" s="22"/>
      <c r="I732" s="22"/>
      <c r="J732" s="23"/>
    </row>
    <row r="733" spans="1:10" s="61" customFormat="1" ht="18.899999999999999" customHeight="1" x14ac:dyDescent="0.35">
      <c r="A733" s="25"/>
      <c r="B733" s="1"/>
      <c r="C733" s="22"/>
      <c r="D733" s="1"/>
      <c r="E733" s="22"/>
      <c r="F733" s="22"/>
      <c r="G733"/>
      <c r="H733" s="22"/>
      <c r="I733" s="22"/>
      <c r="J733" s="23"/>
    </row>
    <row r="734" spans="1:10" s="61" customFormat="1" ht="18.899999999999999" customHeight="1" x14ac:dyDescent="0.35">
      <c r="A734" s="25"/>
      <c r="B734" s="1"/>
      <c r="C734" s="22"/>
      <c r="D734" s="1"/>
      <c r="E734" s="22"/>
      <c r="F734" s="22"/>
      <c r="G734"/>
      <c r="H734" s="22"/>
      <c r="I734" s="22"/>
      <c r="J734" s="23"/>
    </row>
    <row r="735" spans="1:10" s="61" customFormat="1" ht="18.899999999999999" customHeight="1" x14ac:dyDescent="0.35">
      <c r="A735" s="25"/>
      <c r="B735" s="1"/>
      <c r="C735" s="22"/>
      <c r="D735" s="1"/>
      <c r="E735" s="22"/>
      <c r="F735" s="22"/>
      <c r="G735"/>
      <c r="H735" s="22"/>
      <c r="I735" s="22"/>
      <c r="J735" s="23"/>
    </row>
    <row r="736" spans="1:10" s="61" customFormat="1" ht="18.899999999999999" customHeight="1" x14ac:dyDescent="0.35">
      <c r="A736" s="25"/>
      <c r="B736" s="1"/>
      <c r="C736" s="22"/>
      <c r="D736" s="1"/>
      <c r="E736" s="22"/>
      <c r="F736" s="22"/>
      <c r="G736"/>
      <c r="H736" s="22"/>
      <c r="I736" s="22"/>
      <c r="J736" s="23"/>
    </row>
    <row r="737" spans="1:10" s="61" customFormat="1" ht="18.899999999999999" customHeight="1" x14ac:dyDescent="0.35">
      <c r="A737" s="25"/>
      <c r="B737" s="1"/>
      <c r="C737" s="22"/>
      <c r="D737" s="1"/>
      <c r="E737" s="22"/>
      <c r="F737" s="22"/>
      <c r="G737"/>
      <c r="H737" s="22"/>
      <c r="I737" s="22"/>
      <c r="J737" s="23"/>
    </row>
    <row r="738" spans="1:10" s="61" customFormat="1" ht="18.899999999999999" customHeight="1" x14ac:dyDescent="0.35">
      <c r="A738" s="25"/>
      <c r="B738" s="1"/>
      <c r="C738" s="22"/>
      <c r="D738" s="1"/>
      <c r="E738" s="22"/>
      <c r="F738" s="22"/>
      <c r="G738"/>
      <c r="H738" s="22"/>
      <c r="I738" s="22"/>
      <c r="J738" s="23"/>
    </row>
    <row r="739" spans="1:10" s="61" customFormat="1" ht="18.899999999999999" customHeight="1" x14ac:dyDescent="0.35">
      <c r="A739" s="25"/>
      <c r="B739" s="1"/>
      <c r="C739" s="22"/>
      <c r="D739" s="1"/>
      <c r="E739" s="22"/>
      <c r="F739" s="22"/>
      <c r="G739"/>
      <c r="H739" s="22"/>
      <c r="I739" s="22"/>
      <c r="J739" s="23"/>
    </row>
    <row r="740" spans="1:10" s="61" customFormat="1" ht="18.899999999999999" customHeight="1" x14ac:dyDescent="0.35">
      <c r="A740" s="25"/>
      <c r="B740" s="1"/>
      <c r="C740" s="22"/>
      <c r="D740" s="1"/>
      <c r="E740" s="22"/>
      <c r="F740" s="22"/>
      <c r="G740"/>
      <c r="H740" s="22"/>
      <c r="I740" s="22"/>
      <c r="J740" s="23"/>
    </row>
    <row r="741" spans="1:10" s="61" customFormat="1" ht="18.899999999999999" customHeight="1" x14ac:dyDescent="0.35">
      <c r="A741" s="25"/>
      <c r="B741" s="1"/>
      <c r="C741" s="22"/>
      <c r="D741" s="1"/>
      <c r="E741" s="22"/>
      <c r="F741" s="22"/>
      <c r="G741"/>
      <c r="H741" s="22"/>
      <c r="I741" s="22"/>
      <c r="J741" s="23"/>
    </row>
    <row r="742" spans="1:10" s="61" customFormat="1" ht="18.899999999999999" customHeight="1" x14ac:dyDescent="0.35">
      <c r="A742" s="25"/>
      <c r="B742" s="1"/>
      <c r="C742" s="22"/>
      <c r="D742" s="1"/>
      <c r="E742" s="22"/>
      <c r="F742" s="22"/>
      <c r="G742"/>
      <c r="H742" s="22"/>
      <c r="I742" s="22"/>
      <c r="J742" s="23"/>
    </row>
    <row r="743" spans="1:10" s="61" customFormat="1" ht="18.899999999999999" customHeight="1" x14ac:dyDescent="0.35">
      <c r="A743" s="25"/>
      <c r="B743" s="1"/>
      <c r="C743" s="22"/>
      <c r="D743" s="1"/>
      <c r="E743" s="22"/>
      <c r="F743" s="22"/>
      <c r="G743"/>
      <c r="H743" s="22"/>
      <c r="I743" s="22"/>
      <c r="J743" s="23"/>
    </row>
    <row r="744" spans="1:10" s="61" customFormat="1" ht="18.899999999999999" customHeight="1" x14ac:dyDescent="0.35">
      <c r="A744" s="25"/>
      <c r="B744" s="1"/>
      <c r="C744" s="22"/>
      <c r="D744" s="1"/>
      <c r="E744" s="22"/>
      <c r="F744" s="22"/>
      <c r="G744"/>
      <c r="H744" s="22"/>
      <c r="I744" s="22"/>
      <c r="J744" s="23"/>
    </row>
    <row r="745" spans="1:10" s="61" customFormat="1" ht="18.899999999999999" customHeight="1" x14ac:dyDescent="0.35">
      <c r="A745" s="25"/>
      <c r="B745" s="1"/>
      <c r="C745" s="22"/>
      <c r="D745" s="1"/>
      <c r="E745" s="22"/>
      <c r="F745" s="22"/>
      <c r="G745"/>
      <c r="H745" s="22"/>
      <c r="I745" s="22"/>
      <c r="J745" s="23"/>
    </row>
    <row r="746" spans="1:10" s="61" customFormat="1" ht="18.899999999999999" customHeight="1" x14ac:dyDescent="0.35">
      <c r="A746" s="25"/>
      <c r="B746" s="1"/>
      <c r="C746" s="22"/>
      <c r="D746" s="1"/>
      <c r="E746" s="22"/>
      <c r="F746" s="22"/>
      <c r="G746"/>
      <c r="H746" s="22"/>
      <c r="I746" s="22"/>
      <c r="J746" s="23"/>
    </row>
    <row r="747" spans="1:10" s="61" customFormat="1" ht="18.899999999999999" customHeight="1" x14ac:dyDescent="0.35">
      <c r="A747" s="25"/>
      <c r="B747" s="1"/>
      <c r="C747" s="22"/>
      <c r="D747" s="1"/>
      <c r="E747" s="22"/>
      <c r="F747" s="22"/>
      <c r="G747"/>
      <c r="H747" s="22"/>
      <c r="I747" s="22"/>
      <c r="J747" s="23"/>
    </row>
    <row r="748" spans="1:10" s="61" customFormat="1" ht="18.899999999999999" customHeight="1" x14ac:dyDescent="0.35">
      <c r="A748" s="25"/>
      <c r="B748" s="1"/>
      <c r="C748" s="22"/>
      <c r="D748" s="1"/>
      <c r="E748" s="22"/>
      <c r="F748" s="22"/>
      <c r="G748"/>
      <c r="H748" s="22"/>
      <c r="I748" s="22"/>
      <c r="J748" s="23"/>
    </row>
    <row r="749" spans="1:10" s="61" customFormat="1" ht="18.899999999999999" customHeight="1" x14ac:dyDescent="0.35">
      <c r="A749" s="25"/>
      <c r="B749" s="1"/>
      <c r="C749" s="22"/>
      <c r="D749" s="1"/>
      <c r="E749" s="22"/>
      <c r="F749" s="22"/>
      <c r="G749"/>
      <c r="H749" s="22"/>
      <c r="I749" s="22"/>
      <c r="J749" s="23"/>
    </row>
    <row r="750" spans="1:10" s="61" customFormat="1" ht="18.899999999999999" customHeight="1" x14ac:dyDescent="0.35">
      <c r="A750" s="25"/>
      <c r="B750" s="1"/>
      <c r="C750" s="22"/>
      <c r="D750" s="1"/>
      <c r="E750" s="22"/>
      <c r="F750" s="22"/>
      <c r="G750"/>
      <c r="H750" s="22"/>
      <c r="I750" s="22"/>
      <c r="J750" s="23"/>
    </row>
    <row r="751" spans="1:10" s="61" customFormat="1" ht="18.899999999999999" customHeight="1" x14ac:dyDescent="0.35">
      <c r="A751" s="25"/>
      <c r="B751" s="1"/>
      <c r="C751" s="22"/>
      <c r="D751" s="1"/>
      <c r="E751" s="22"/>
      <c r="F751" s="22"/>
      <c r="G751"/>
      <c r="H751" s="22"/>
      <c r="I751" s="22"/>
      <c r="J751" s="23"/>
    </row>
    <row r="752" spans="1:10" s="61" customFormat="1" ht="18.899999999999999" customHeight="1" x14ac:dyDescent="0.35">
      <c r="A752" s="25"/>
      <c r="B752" s="1"/>
      <c r="C752" s="22"/>
      <c r="D752" s="1"/>
      <c r="E752" s="22"/>
      <c r="F752" s="22"/>
      <c r="G752"/>
      <c r="H752" s="22"/>
      <c r="I752" s="22"/>
      <c r="J752" s="23"/>
    </row>
    <row r="753" spans="1:10" s="61" customFormat="1" ht="18.899999999999999" customHeight="1" x14ac:dyDescent="0.35">
      <c r="A753" s="25"/>
      <c r="B753" s="1"/>
      <c r="C753" s="22"/>
      <c r="D753" s="1"/>
      <c r="E753" s="22"/>
      <c r="F753" s="22"/>
      <c r="G753"/>
      <c r="H753" s="22"/>
      <c r="I753" s="22"/>
      <c r="J753" s="23"/>
    </row>
    <row r="754" spans="1:10" s="61" customFormat="1" ht="18.899999999999999" customHeight="1" x14ac:dyDescent="0.35">
      <c r="A754" s="25"/>
      <c r="B754" s="1"/>
      <c r="C754" s="22"/>
      <c r="D754" s="1"/>
      <c r="E754" s="22"/>
      <c r="F754" s="22"/>
      <c r="G754"/>
      <c r="H754" s="22"/>
      <c r="I754" s="22"/>
      <c r="J754" s="23"/>
    </row>
    <row r="755" spans="1:10" s="61" customFormat="1" ht="18.899999999999999" customHeight="1" x14ac:dyDescent="0.35">
      <c r="A755" s="25"/>
      <c r="B755" s="1"/>
      <c r="C755" s="22"/>
      <c r="D755" s="1"/>
      <c r="E755" s="22"/>
      <c r="F755" s="22"/>
      <c r="G755"/>
      <c r="H755" s="22"/>
      <c r="I755" s="22"/>
      <c r="J755" s="23"/>
    </row>
    <row r="756" spans="1:10" s="61" customFormat="1" ht="18.899999999999999" customHeight="1" x14ac:dyDescent="0.35">
      <c r="A756" s="25"/>
      <c r="B756" s="1"/>
      <c r="C756" s="22"/>
      <c r="D756" s="1"/>
      <c r="E756" s="22"/>
      <c r="F756" s="22"/>
      <c r="G756"/>
      <c r="H756" s="22"/>
      <c r="I756" s="22"/>
      <c r="J756" s="23"/>
    </row>
    <row r="757" spans="1:10" s="61" customFormat="1" ht="18.899999999999999" customHeight="1" x14ac:dyDescent="0.35">
      <c r="A757" s="25"/>
      <c r="B757" s="1"/>
      <c r="C757" s="22"/>
      <c r="D757" s="1"/>
      <c r="E757" s="22"/>
      <c r="F757" s="22"/>
      <c r="G757"/>
      <c r="H757" s="22"/>
      <c r="I757" s="22"/>
      <c r="J757" s="23"/>
    </row>
    <row r="758" spans="1:10" s="61" customFormat="1" ht="18.899999999999999" customHeight="1" x14ac:dyDescent="0.35">
      <c r="A758" s="25"/>
      <c r="B758" s="1"/>
      <c r="C758" s="22"/>
      <c r="D758" s="1"/>
      <c r="E758" s="22"/>
      <c r="F758" s="22"/>
      <c r="G758"/>
      <c r="H758" s="22"/>
      <c r="I758" s="22"/>
      <c r="J758" s="23"/>
    </row>
    <row r="759" spans="1:10" s="61" customFormat="1" ht="18.899999999999999" customHeight="1" x14ac:dyDescent="0.35">
      <c r="A759" s="25"/>
      <c r="B759" s="1"/>
      <c r="C759" s="22"/>
      <c r="D759" s="1"/>
      <c r="E759" s="22"/>
      <c r="F759" s="22"/>
      <c r="G759"/>
      <c r="H759" s="22"/>
      <c r="I759" s="22"/>
      <c r="J759" s="23"/>
    </row>
    <row r="760" spans="1:10" s="61" customFormat="1" ht="18.899999999999999" customHeight="1" x14ac:dyDescent="0.35">
      <c r="A760" s="25"/>
      <c r="B760" s="1"/>
      <c r="C760" s="22"/>
      <c r="D760" s="1"/>
      <c r="E760" s="22"/>
      <c r="F760" s="22"/>
      <c r="G760"/>
      <c r="H760" s="22"/>
      <c r="I760" s="22"/>
      <c r="J760" s="23"/>
    </row>
    <row r="761" spans="1:10" s="61" customFormat="1" ht="18.899999999999999" customHeight="1" x14ac:dyDescent="0.35">
      <c r="A761" s="25"/>
      <c r="B761" s="1"/>
      <c r="C761" s="22"/>
      <c r="D761" s="1"/>
      <c r="E761" s="22"/>
      <c r="F761" s="22"/>
      <c r="G761"/>
      <c r="H761" s="22"/>
      <c r="I761" s="22"/>
      <c r="J761" s="23"/>
    </row>
    <row r="762" spans="1:10" s="61" customFormat="1" ht="18.899999999999999" customHeight="1" x14ac:dyDescent="0.35">
      <c r="A762" s="25"/>
      <c r="B762" s="1"/>
      <c r="C762" s="22"/>
      <c r="D762" s="1"/>
      <c r="E762" s="22"/>
      <c r="F762" s="22"/>
      <c r="G762"/>
      <c r="H762" s="22"/>
      <c r="I762" s="22"/>
      <c r="J762" s="23"/>
    </row>
    <row r="763" spans="1:10" s="61" customFormat="1" ht="18.899999999999999" customHeight="1" x14ac:dyDescent="0.35">
      <c r="A763" s="25"/>
      <c r="B763" s="1"/>
      <c r="C763" s="22"/>
      <c r="D763" s="1"/>
      <c r="E763" s="22"/>
      <c r="F763" s="22"/>
      <c r="G763"/>
      <c r="H763" s="22"/>
      <c r="I763" s="22"/>
      <c r="J763" s="23"/>
    </row>
    <row r="764" spans="1:10" s="61" customFormat="1" ht="18.899999999999999" customHeight="1" x14ac:dyDescent="0.35">
      <c r="A764" s="25"/>
      <c r="B764" s="1"/>
      <c r="C764" s="22"/>
      <c r="D764" s="1"/>
      <c r="E764" s="22"/>
      <c r="F764" s="22"/>
      <c r="G764"/>
      <c r="H764" s="22"/>
      <c r="I764" s="22"/>
      <c r="J764" s="23"/>
    </row>
    <row r="765" spans="1:10" s="61" customFormat="1" ht="18.899999999999999" customHeight="1" x14ac:dyDescent="0.35">
      <c r="A765" s="25"/>
      <c r="B765" s="1"/>
      <c r="C765" s="22"/>
      <c r="D765" s="1"/>
      <c r="E765" s="22"/>
      <c r="F765" s="22"/>
      <c r="G765"/>
      <c r="H765" s="22"/>
      <c r="I765" s="22"/>
      <c r="J765" s="23"/>
    </row>
    <row r="766" spans="1:10" s="61" customFormat="1" ht="18.899999999999999" customHeight="1" x14ac:dyDescent="0.35">
      <c r="A766" s="25"/>
      <c r="B766" s="1"/>
      <c r="C766" s="22"/>
      <c r="D766" s="1"/>
      <c r="E766" s="22"/>
      <c r="F766" s="22"/>
      <c r="G766"/>
      <c r="H766" s="22"/>
      <c r="I766" s="22"/>
      <c r="J766" s="23"/>
    </row>
    <row r="767" spans="1:10" s="61" customFormat="1" ht="18.899999999999999" customHeight="1" x14ac:dyDescent="0.35">
      <c r="A767" s="25"/>
      <c r="B767" s="1"/>
      <c r="C767" s="22"/>
      <c r="D767" s="1"/>
      <c r="E767" s="22"/>
      <c r="F767" s="22"/>
      <c r="G767"/>
      <c r="H767" s="22"/>
      <c r="I767" s="22"/>
      <c r="J767" s="23"/>
    </row>
    <row r="768" spans="1:10" s="61" customFormat="1" ht="18.899999999999999" customHeight="1" x14ac:dyDescent="0.35">
      <c r="A768" s="25"/>
      <c r="B768" s="1"/>
      <c r="C768" s="22"/>
      <c r="D768" s="1"/>
      <c r="E768" s="22"/>
      <c r="F768" s="22"/>
      <c r="G768"/>
      <c r="H768" s="22"/>
      <c r="I768" s="22"/>
      <c r="J768" s="23"/>
    </row>
    <row r="769" spans="1:10" s="61" customFormat="1" ht="18.899999999999999" customHeight="1" x14ac:dyDescent="0.35">
      <c r="A769" s="25"/>
      <c r="B769" s="1"/>
      <c r="C769" s="22"/>
      <c r="D769" s="1"/>
      <c r="E769" s="22"/>
      <c r="F769" s="22"/>
      <c r="G769"/>
      <c r="H769" s="22"/>
      <c r="I769" s="22"/>
      <c r="J769" s="23"/>
    </row>
    <row r="770" spans="1:10" s="61" customFormat="1" ht="18.899999999999999" customHeight="1" x14ac:dyDescent="0.35">
      <c r="A770" s="25"/>
      <c r="B770" s="1"/>
      <c r="C770" s="22"/>
      <c r="D770" s="1"/>
      <c r="E770" s="22"/>
      <c r="F770" s="22"/>
      <c r="G770"/>
      <c r="H770" s="22"/>
      <c r="I770" s="22"/>
      <c r="J770" s="23"/>
    </row>
    <row r="771" spans="1:10" s="61" customFormat="1" ht="18.899999999999999" customHeight="1" x14ac:dyDescent="0.35">
      <c r="A771" s="25"/>
      <c r="B771" s="1"/>
      <c r="C771" s="22"/>
      <c r="D771" s="1"/>
      <c r="E771" s="22"/>
      <c r="F771" s="22"/>
      <c r="G771"/>
      <c r="H771" s="22"/>
      <c r="I771" s="22"/>
      <c r="J771" s="23"/>
    </row>
    <row r="772" spans="1:10" s="61" customFormat="1" ht="18.899999999999999" customHeight="1" x14ac:dyDescent="0.35">
      <c r="A772" s="25"/>
      <c r="B772" s="1"/>
      <c r="C772" s="22"/>
      <c r="D772" s="1"/>
      <c r="E772" s="22"/>
      <c r="F772" s="22"/>
      <c r="G772"/>
      <c r="H772" s="22"/>
      <c r="I772" s="22"/>
      <c r="J772" s="23"/>
    </row>
    <row r="773" spans="1:10" s="61" customFormat="1" ht="18.899999999999999" customHeight="1" x14ac:dyDescent="0.35">
      <c r="A773" s="25"/>
      <c r="B773" s="1"/>
      <c r="C773" s="22"/>
      <c r="D773" s="1"/>
      <c r="E773" s="22"/>
      <c r="F773" s="22"/>
      <c r="G773"/>
      <c r="H773" s="22"/>
      <c r="I773" s="22"/>
      <c r="J773" s="23"/>
    </row>
    <row r="774" spans="1:10" s="61" customFormat="1" ht="18.899999999999999" customHeight="1" x14ac:dyDescent="0.35">
      <c r="A774" s="25"/>
      <c r="B774" s="1"/>
      <c r="C774" s="22"/>
      <c r="D774" s="1"/>
      <c r="E774" s="22"/>
      <c r="F774" s="22"/>
      <c r="G774"/>
      <c r="H774" s="22"/>
      <c r="I774" s="22"/>
      <c r="J774" s="23"/>
    </row>
    <row r="775" spans="1:10" s="61" customFormat="1" ht="18.899999999999999" customHeight="1" x14ac:dyDescent="0.35">
      <c r="A775" s="25"/>
      <c r="B775" s="1"/>
      <c r="C775" s="22"/>
      <c r="D775" s="1"/>
      <c r="E775" s="22"/>
      <c r="F775" s="22"/>
      <c r="G775"/>
      <c r="H775" s="22"/>
      <c r="I775" s="22"/>
      <c r="J775" s="23"/>
    </row>
    <row r="776" spans="1:10" s="61" customFormat="1" ht="18.899999999999999" customHeight="1" x14ac:dyDescent="0.35">
      <c r="A776" s="25"/>
      <c r="B776" s="1"/>
      <c r="C776" s="22"/>
      <c r="D776" s="1"/>
      <c r="E776" s="22"/>
      <c r="F776" s="22"/>
      <c r="G776"/>
      <c r="H776" s="22"/>
      <c r="I776" s="22"/>
      <c r="J776" s="23"/>
    </row>
    <row r="777" spans="1:10" s="61" customFormat="1" ht="18.899999999999999" customHeight="1" x14ac:dyDescent="0.35">
      <c r="A777" s="25"/>
      <c r="B777" s="1"/>
      <c r="C777" s="22"/>
      <c r="D777" s="1"/>
      <c r="E777" s="22"/>
      <c r="F777" s="22"/>
      <c r="G777"/>
      <c r="H777" s="22"/>
      <c r="I777" s="22"/>
      <c r="J777" s="23"/>
    </row>
    <row r="778" spans="1:10" s="61" customFormat="1" ht="18.899999999999999" customHeight="1" x14ac:dyDescent="0.35">
      <c r="A778" s="25"/>
      <c r="B778" s="1"/>
      <c r="C778" s="22"/>
      <c r="D778" s="1"/>
      <c r="E778" s="22"/>
      <c r="F778" s="22"/>
      <c r="G778"/>
      <c r="H778" s="22"/>
      <c r="I778" s="22"/>
      <c r="J778" s="23"/>
    </row>
    <row r="779" spans="1:10" s="61" customFormat="1" ht="18.899999999999999" customHeight="1" x14ac:dyDescent="0.35">
      <c r="A779" s="25"/>
      <c r="B779" s="1"/>
      <c r="C779" s="22"/>
      <c r="D779" s="1"/>
      <c r="E779" s="22"/>
      <c r="F779" s="22"/>
      <c r="G779"/>
      <c r="H779" s="22"/>
      <c r="I779" s="22"/>
      <c r="J779" s="23"/>
    </row>
    <row r="780" spans="1:10" s="61" customFormat="1" ht="18.899999999999999" customHeight="1" x14ac:dyDescent="0.35">
      <c r="A780" s="25"/>
      <c r="B780" s="1"/>
      <c r="C780" s="22"/>
      <c r="D780" s="1"/>
      <c r="E780" s="22"/>
      <c r="F780" s="22"/>
      <c r="G780"/>
      <c r="H780" s="22"/>
      <c r="I780" s="22"/>
      <c r="J780" s="23"/>
    </row>
    <row r="781" spans="1:10" s="61" customFormat="1" ht="18.899999999999999" customHeight="1" x14ac:dyDescent="0.35">
      <c r="A781" s="25"/>
      <c r="B781" s="1"/>
      <c r="C781" s="22"/>
      <c r="D781" s="1"/>
      <c r="E781" s="22"/>
      <c r="F781" s="22"/>
      <c r="G781"/>
      <c r="H781" s="22"/>
      <c r="I781" s="22"/>
      <c r="J781" s="23"/>
    </row>
    <row r="782" spans="1:10" s="61" customFormat="1" ht="18.899999999999999" customHeight="1" x14ac:dyDescent="0.35">
      <c r="A782" s="25"/>
      <c r="B782" s="1"/>
      <c r="C782" s="22"/>
      <c r="D782" s="1"/>
      <c r="E782" s="22"/>
      <c r="F782" s="22"/>
      <c r="G782"/>
      <c r="H782" s="22"/>
      <c r="I782" s="22"/>
      <c r="J782" s="23"/>
    </row>
    <row r="783" spans="1:10" s="61" customFormat="1" ht="18.899999999999999" customHeight="1" x14ac:dyDescent="0.35">
      <c r="A783" s="25"/>
      <c r="B783" s="1"/>
      <c r="C783" s="22"/>
      <c r="D783" s="1"/>
      <c r="E783" s="22"/>
      <c r="F783" s="22"/>
      <c r="G783"/>
      <c r="H783" s="22"/>
      <c r="I783" s="22"/>
      <c r="J783" s="23"/>
    </row>
    <row r="784" spans="1:10" s="61" customFormat="1" ht="18.899999999999999" customHeight="1" x14ac:dyDescent="0.35">
      <c r="A784" s="25"/>
      <c r="B784" s="1"/>
      <c r="C784" s="22"/>
      <c r="D784" s="1"/>
      <c r="E784" s="22"/>
      <c r="F784" s="22"/>
      <c r="G784"/>
      <c r="H784" s="22"/>
      <c r="I784" s="22"/>
      <c r="J784" s="23"/>
    </row>
    <row r="785" spans="1:10" s="61" customFormat="1" ht="18.899999999999999" customHeight="1" x14ac:dyDescent="0.35">
      <c r="A785" s="25"/>
      <c r="B785" s="1"/>
      <c r="C785" s="22"/>
      <c r="D785" s="1"/>
      <c r="E785" s="22"/>
      <c r="F785" s="22"/>
      <c r="G785"/>
      <c r="H785" s="22"/>
      <c r="I785" s="22"/>
      <c r="J785" s="23"/>
    </row>
    <row r="786" spans="1:10" s="61" customFormat="1" ht="18.899999999999999" customHeight="1" x14ac:dyDescent="0.35">
      <c r="A786" s="25"/>
      <c r="B786" s="1"/>
      <c r="C786" s="22"/>
      <c r="D786" s="1"/>
      <c r="E786" s="22"/>
      <c r="F786" s="22"/>
      <c r="G786"/>
      <c r="H786" s="22"/>
      <c r="I786" s="22"/>
      <c r="J786" s="23"/>
    </row>
    <row r="787" spans="1:10" s="61" customFormat="1" ht="18.899999999999999" customHeight="1" x14ac:dyDescent="0.35">
      <c r="A787" s="25"/>
      <c r="B787" s="1"/>
      <c r="C787" s="22"/>
      <c r="D787" s="1"/>
      <c r="E787" s="22"/>
      <c r="F787" s="22"/>
      <c r="G787"/>
      <c r="H787" s="22"/>
      <c r="I787" s="22"/>
      <c r="J787" s="23"/>
    </row>
    <row r="788" spans="1:10" s="61" customFormat="1" ht="18.899999999999999" customHeight="1" x14ac:dyDescent="0.35">
      <c r="A788" s="25"/>
      <c r="B788" s="1"/>
      <c r="C788" s="22"/>
      <c r="D788" s="1"/>
      <c r="E788" s="22"/>
      <c r="F788" s="22"/>
      <c r="G788"/>
      <c r="H788" s="22"/>
      <c r="I788" s="22"/>
      <c r="J788" s="23"/>
    </row>
    <row r="789" spans="1:10" s="61" customFormat="1" ht="18.899999999999999" customHeight="1" x14ac:dyDescent="0.35">
      <c r="A789" s="25"/>
      <c r="B789" s="1"/>
      <c r="C789" s="22"/>
      <c r="D789" s="1"/>
      <c r="E789" s="22"/>
      <c r="F789" s="22"/>
      <c r="G789"/>
      <c r="H789" s="22"/>
      <c r="I789" s="22"/>
      <c r="J789" s="23"/>
    </row>
    <row r="790" spans="1:10" s="61" customFormat="1" ht="18.899999999999999" customHeight="1" x14ac:dyDescent="0.35">
      <c r="A790" s="25"/>
      <c r="B790" s="1"/>
      <c r="C790" s="22"/>
      <c r="D790" s="1"/>
      <c r="E790" s="22"/>
      <c r="F790" s="22"/>
      <c r="G790"/>
      <c r="H790" s="22"/>
      <c r="I790" s="22"/>
      <c r="J790" s="23"/>
    </row>
    <row r="791" spans="1:10" s="61" customFormat="1" ht="18.899999999999999" customHeight="1" x14ac:dyDescent="0.35">
      <c r="A791" s="25"/>
      <c r="B791" s="1"/>
      <c r="C791" s="22"/>
      <c r="D791" s="1"/>
      <c r="E791" s="22"/>
      <c r="F791" s="22"/>
      <c r="G791"/>
      <c r="H791" s="22"/>
      <c r="I791" s="22"/>
      <c r="J791" s="23"/>
    </row>
    <row r="792" spans="1:10" s="61" customFormat="1" ht="18.899999999999999" customHeight="1" x14ac:dyDescent="0.35">
      <c r="A792" s="25"/>
      <c r="B792" s="1"/>
      <c r="C792" s="22"/>
      <c r="D792" s="1"/>
      <c r="E792" s="22"/>
      <c r="F792" s="22"/>
      <c r="G792"/>
      <c r="H792" s="22"/>
      <c r="I792" s="22"/>
      <c r="J792" s="23"/>
    </row>
    <row r="793" spans="1:10" s="61" customFormat="1" ht="18.899999999999999" customHeight="1" x14ac:dyDescent="0.35">
      <c r="A793" s="25"/>
      <c r="B793" s="1"/>
      <c r="C793" s="22"/>
      <c r="D793" s="1"/>
      <c r="E793" s="22"/>
      <c r="F793" s="22"/>
      <c r="G793"/>
      <c r="H793" s="22"/>
      <c r="I793" s="22"/>
      <c r="J793" s="23"/>
    </row>
    <row r="794" spans="1:10" s="61" customFormat="1" ht="18.899999999999999" customHeight="1" x14ac:dyDescent="0.35">
      <c r="A794" s="25"/>
      <c r="B794" s="1"/>
      <c r="C794" s="22"/>
      <c r="D794" s="1"/>
      <c r="E794" s="22"/>
      <c r="F794" s="22"/>
      <c r="G794"/>
      <c r="H794" s="22"/>
      <c r="I794" s="22"/>
      <c r="J794" s="23"/>
    </row>
    <row r="795" spans="1:10" s="61" customFormat="1" ht="18.899999999999999" customHeight="1" x14ac:dyDescent="0.35">
      <c r="A795" s="25"/>
      <c r="B795" s="1"/>
      <c r="C795" s="22"/>
      <c r="D795" s="1"/>
      <c r="E795" s="22"/>
      <c r="F795" s="22"/>
      <c r="G795"/>
      <c r="H795" s="22"/>
      <c r="I795" s="22"/>
      <c r="J795" s="23"/>
    </row>
    <row r="796" spans="1:10" s="61" customFormat="1" ht="18.899999999999999" customHeight="1" x14ac:dyDescent="0.35">
      <c r="A796" s="25"/>
      <c r="B796" s="1"/>
      <c r="C796" s="22"/>
      <c r="D796" s="1"/>
      <c r="E796" s="22"/>
      <c r="F796" s="22"/>
      <c r="G796"/>
      <c r="H796" s="22"/>
      <c r="I796" s="22"/>
      <c r="J796" s="23"/>
    </row>
    <row r="797" spans="1:10" s="61" customFormat="1" ht="18.899999999999999" customHeight="1" x14ac:dyDescent="0.35">
      <c r="A797" s="25"/>
      <c r="B797" s="1"/>
      <c r="C797" s="22"/>
      <c r="D797" s="1"/>
      <c r="E797" s="22"/>
      <c r="F797" s="22"/>
      <c r="G797"/>
      <c r="H797" s="22"/>
      <c r="I797" s="22"/>
      <c r="J797" s="23"/>
    </row>
    <row r="798" spans="1:10" s="61" customFormat="1" ht="18.899999999999999" customHeight="1" x14ac:dyDescent="0.35">
      <c r="A798" s="25"/>
      <c r="B798" s="1"/>
      <c r="C798" s="22"/>
      <c r="D798" s="1"/>
      <c r="E798" s="22"/>
      <c r="F798" s="22"/>
      <c r="G798"/>
      <c r="H798" s="22"/>
      <c r="I798" s="22"/>
      <c r="J798" s="23"/>
    </row>
    <row r="799" spans="1:10" s="61" customFormat="1" ht="18.899999999999999" customHeight="1" x14ac:dyDescent="0.35">
      <c r="A799" s="25"/>
      <c r="B799" s="1"/>
      <c r="C799" s="22"/>
      <c r="D799" s="1"/>
      <c r="E799" s="22"/>
      <c r="F799" s="22"/>
      <c r="G799"/>
      <c r="H799" s="22"/>
      <c r="I799" s="22"/>
      <c r="J799" s="23"/>
    </row>
    <row r="800" spans="1:10" s="61" customFormat="1" ht="18.899999999999999" customHeight="1" x14ac:dyDescent="0.35">
      <c r="A800" s="25"/>
      <c r="B800" s="1"/>
      <c r="C800" s="22"/>
      <c r="D800" s="1"/>
      <c r="E800" s="22"/>
      <c r="F800" s="22"/>
      <c r="G800"/>
      <c r="H800" s="22"/>
      <c r="I800" s="22"/>
      <c r="J800" s="23"/>
    </row>
    <row r="801" spans="1:10" s="61" customFormat="1" ht="18.899999999999999" customHeight="1" x14ac:dyDescent="0.35">
      <c r="A801" s="25"/>
      <c r="B801" s="1"/>
      <c r="C801" s="22"/>
      <c r="D801" s="1"/>
      <c r="E801" s="22"/>
      <c r="F801" s="22"/>
      <c r="G801"/>
      <c r="H801" s="22"/>
      <c r="I801" s="22"/>
      <c r="J801" s="23"/>
    </row>
    <row r="802" spans="1:10" s="61" customFormat="1" ht="18.899999999999999" customHeight="1" x14ac:dyDescent="0.35">
      <c r="A802" s="25"/>
      <c r="B802" s="1"/>
      <c r="C802" s="22"/>
      <c r="D802" s="1"/>
      <c r="E802" s="22"/>
      <c r="F802" s="22"/>
      <c r="G802"/>
      <c r="H802" s="22"/>
      <c r="I802" s="22"/>
      <c r="J802" s="23"/>
    </row>
    <row r="803" spans="1:10" s="61" customFormat="1" ht="18.899999999999999" customHeight="1" x14ac:dyDescent="0.35">
      <c r="A803" s="25"/>
      <c r="B803" s="1"/>
      <c r="C803" s="22"/>
      <c r="D803" s="1"/>
      <c r="E803" s="22"/>
      <c r="F803" s="22"/>
      <c r="G803"/>
      <c r="H803" s="22"/>
      <c r="I803" s="22"/>
      <c r="J803" s="23"/>
    </row>
    <row r="804" spans="1:10" s="61" customFormat="1" ht="18.899999999999999" customHeight="1" x14ac:dyDescent="0.35">
      <c r="A804" s="25"/>
      <c r="B804" s="1"/>
      <c r="C804" s="22"/>
      <c r="D804" s="1"/>
      <c r="E804" s="22"/>
      <c r="F804" s="22"/>
      <c r="G804"/>
      <c r="H804" s="22"/>
      <c r="I804" s="22"/>
      <c r="J804" s="23"/>
    </row>
    <row r="805" spans="1:10" s="61" customFormat="1" ht="18.899999999999999" customHeight="1" x14ac:dyDescent="0.35">
      <c r="A805" s="25"/>
      <c r="B805" s="1"/>
      <c r="C805" s="22"/>
      <c r="D805" s="1"/>
      <c r="E805" s="22"/>
      <c r="F805" s="22"/>
      <c r="G805"/>
      <c r="H805" s="22"/>
      <c r="I805" s="22"/>
      <c r="J805" s="23"/>
    </row>
    <row r="806" spans="1:10" s="61" customFormat="1" ht="18.899999999999999" customHeight="1" x14ac:dyDescent="0.35">
      <c r="A806" s="25"/>
      <c r="B806" s="1"/>
      <c r="C806" s="22"/>
      <c r="D806" s="1"/>
      <c r="E806" s="22"/>
      <c r="F806" s="22"/>
      <c r="G806"/>
      <c r="H806" s="22"/>
      <c r="I806" s="22"/>
      <c r="J806" s="23"/>
    </row>
    <row r="807" spans="1:10" s="61" customFormat="1" ht="18.899999999999999" customHeight="1" x14ac:dyDescent="0.35">
      <c r="A807" s="25"/>
      <c r="B807" s="1"/>
      <c r="C807" s="22"/>
      <c r="D807" s="1"/>
      <c r="E807" s="22"/>
      <c r="F807" s="22"/>
      <c r="G807"/>
      <c r="H807" s="22"/>
      <c r="I807" s="22"/>
      <c r="J807" s="23"/>
    </row>
    <row r="808" spans="1:10" s="61" customFormat="1" ht="18.899999999999999" customHeight="1" x14ac:dyDescent="0.35">
      <c r="A808" s="25"/>
      <c r="B808" s="1"/>
      <c r="C808" s="22"/>
      <c r="D808" s="1"/>
      <c r="E808" s="22"/>
      <c r="F808" s="22"/>
      <c r="G808"/>
      <c r="H808" s="22"/>
      <c r="I808" s="22"/>
      <c r="J808" s="23"/>
    </row>
    <row r="809" spans="1:10" s="61" customFormat="1" ht="18.899999999999999" customHeight="1" x14ac:dyDescent="0.35">
      <c r="A809" s="25"/>
      <c r="B809" s="1"/>
      <c r="C809" s="22"/>
      <c r="D809" s="1"/>
      <c r="E809" s="22"/>
      <c r="F809" s="22"/>
      <c r="G809"/>
      <c r="H809" s="22"/>
      <c r="I809" s="22"/>
      <c r="J809" s="23"/>
    </row>
    <row r="810" spans="1:10" s="61" customFormat="1" ht="18.899999999999999" customHeight="1" x14ac:dyDescent="0.35">
      <c r="A810" s="25"/>
      <c r="B810" s="1"/>
      <c r="C810" s="22"/>
      <c r="D810" s="1"/>
      <c r="E810" s="22"/>
      <c r="F810" s="22"/>
      <c r="G810"/>
      <c r="H810" s="22"/>
      <c r="I810" s="22"/>
      <c r="J810" s="23"/>
    </row>
    <row r="811" spans="1:10" s="61" customFormat="1" ht="18.899999999999999" customHeight="1" x14ac:dyDescent="0.35">
      <c r="A811" s="25"/>
      <c r="B811" s="1"/>
      <c r="C811" s="22"/>
      <c r="D811" s="1"/>
      <c r="E811" s="22"/>
      <c r="F811" s="22"/>
      <c r="G811"/>
      <c r="H811" s="22"/>
      <c r="I811" s="22"/>
      <c r="J811" s="23"/>
    </row>
    <row r="812" spans="1:10" s="61" customFormat="1" ht="18.899999999999999" customHeight="1" x14ac:dyDescent="0.35">
      <c r="A812" s="25"/>
      <c r="B812" s="1"/>
      <c r="C812" s="22"/>
      <c r="D812" s="1"/>
      <c r="E812" s="22"/>
      <c r="F812" s="22"/>
      <c r="G812"/>
      <c r="H812" s="22"/>
      <c r="I812" s="22"/>
      <c r="J812" s="23"/>
    </row>
    <row r="813" spans="1:10" s="61" customFormat="1" ht="18.899999999999999" customHeight="1" x14ac:dyDescent="0.35">
      <c r="A813" s="25"/>
      <c r="B813" s="1"/>
      <c r="C813" s="22"/>
      <c r="D813" s="1"/>
      <c r="E813" s="22"/>
      <c r="F813" s="22"/>
      <c r="G813"/>
      <c r="H813" s="22"/>
      <c r="I813" s="22"/>
      <c r="J813" s="23"/>
    </row>
    <row r="814" spans="1:10" s="61" customFormat="1" ht="18.899999999999999" customHeight="1" x14ac:dyDescent="0.35">
      <c r="A814" s="25"/>
      <c r="B814" s="1"/>
      <c r="C814" s="22"/>
      <c r="D814" s="1"/>
      <c r="E814" s="22"/>
      <c r="F814" s="22"/>
      <c r="G814"/>
      <c r="H814" s="22"/>
      <c r="I814" s="22"/>
      <c r="J814" s="23"/>
    </row>
    <row r="815" spans="1:10" s="61" customFormat="1" ht="18.899999999999999" customHeight="1" x14ac:dyDescent="0.35">
      <c r="A815" s="25"/>
      <c r="B815" s="1"/>
      <c r="C815" s="22"/>
      <c r="D815" s="1"/>
      <c r="E815" s="22"/>
      <c r="F815" s="22"/>
      <c r="G815"/>
      <c r="H815" s="22"/>
      <c r="I815" s="22"/>
      <c r="J815" s="23"/>
    </row>
    <row r="816" spans="1:10" s="61" customFormat="1" ht="18.899999999999999" customHeight="1" x14ac:dyDescent="0.35">
      <c r="A816" s="25"/>
      <c r="B816" s="1"/>
      <c r="C816" s="22"/>
      <c r="D816" s="1"/>
      <c r="E816" s="22"/>
      <c r="F816" s="22"/>
      <c r="G816"/>
      <c r="H816" s="22"/>
      <c r="I816" s="22"/>
      <c r="J816" s="23"/>
    </row>
    <row r="817" spans="1:10" s="61" customFormat="1" ht="18.899999999999999" customHeight="1" x14ac:dyDescent="0.35">
      <c r="A817" s="25"/>
      <c r="B817" s="1"/>
      <c r="C817" s="22"/>
      <c r="D817" s="1"/>
      <c r="E817" s="22"/>
      <c r="F817" s="22"/>
      <c r="G817"/>
      <c r="H817" s="22"/>
      <c r="I817" s="22"/>
      <c r="J817" s="23"/>
    </row>
    <row r="818" spans="1:10" s="61" customFormat="1" ht="18.899999999999999" customHeight="1" x14ac:dyDescent="0.35">
      <c r="A818" s="25"/>
      <c r="B818" s="1"/>
      <c r="C818" s="22"/>
      <c r="D818" s="1"/>
      <c r="E818" s="22"/>
      <c r="F818" s="22"/>
      <c r="G818"/>
      <c r="H818" s="22"/>
      <c r="I818" s="22"/>
      <c r="J818" s="23"/>
    </row>
    <row r="819" spans="1:10" s="61" customFormat="1" ht="18.899999999999999" customHeight="1" x14ac:dyDescent="0.35">
      <c r="A819" s="25"/>
      <c r="B819" s="1"/>
      <c r="C819" s="22"/>
      <c r="D819" s="1"/>
      <c r="E819" s="22"/>
      <c r="F819" s="22"/>
      <c r="G819"/>
      <c r="H819" s="22"/>
      <c r="I819" s="22"/>
      <c r="J819" s="23"/>
    </row>
    <row r="820" spans="1:10" s="61" customFormat="1" ht="18.899999999999999" customHeight="1" x14ac:dyDescent="0.35">
      <c r="A820" s="25"/>
      <c r="B820" s="1"/>
      <c r="C820" s="22"/>
      <c r="D820" s="1"/>
      <c r="E820" s="22"/>
      <c r="F820" s="22"/>
      <c r="G820"/>
      <c r="H820" s="22"/>
      <c r="I820" s="22"/>
      <c r="J820" s="23"/>
    </row>
    <row r="821" spans="1:10" s="61" customFormat="1" ht="18.899999999999999" customHeight="1" x14ac:dyDescent="0.35">
      <c r="A821" s="25"/>
      <c r="B821" s="1"/>
      <c r="C821" s="22"/>
      <c r="D821" s="1"/>
      <c r="E821" s="22"/>
      <c r="F821" s="22"/>
      <c r="G821"/>
      <c r="H821" s="22"/>
      <c r="I821" s="22"/>
      <c r="J821" s="23"/>
    </row>
    <row r="822" spans="1:10" s="61" customFormat="1" ht="18.899999999999999" customHeight="1" x14ac:dyDescent="0.35">
      <c r="A822" s="25"/>
      <c r="B822" s="1"/>
      <c r="C822" s="22"/>
      <c r="D822" s="1"/>
      <c r="E822" s="22"/>
      <c r="F822" s="22"/>
      <c r="G822"/>
      <c r="H822" s="22"/>
      <c r="I822" s="22"/>
      <c r="J822" s="23"/>
    </row>
    <row r="823" spans="1:10" s="61" customFormat="1" ht="18.899999999999999" customHeight="1" x14ac:dyDescent="0.35">
      <c r="A823" s="25"/>
      <c r="B823" s="1"/>
      <c r="C823" s="22"/>
      <c r="D823" s="1"/>
      <c r="E823" s="22"/>
      <c r="F823" s="22"/>
      <c r="G823"/>
      <c r="H823" s="22"/>
      <c r="I823" s="22"/>
      <c r="J823" s="23"/>
    </row>
    <row r="824" spans="1:10" s="61" customFormat="1" ht="18.899999999999999" customHeight="1" x14ac:dyDescent="0.35">
      <c r="A824" s="25"/>
      <c r="B824" s="1"/>
      <c r="C824" s="22"/>
      <c r="D824" s="1"/>
      <c r="E824" s="22"/>
      <c r="F824" s="22"/>
      <c r="G824"/>
      <c r="H824" s="22"/>
      <c r="I824" s="22"/>
      <c r="J824" s="23"/>
    </row>
    <row r="825" spans="1:10" s="61" customFormat="1" ht="18.899999999999999" customHeight="1" x14ac:dyDescent="0.35">
      <c r="A825" s="25"/>
      <c r="B825" s="1"/>
      <c r="C825" s="22"/>
      <c r="D825" s="1"/>
      <c r="E825" s="22"/>
      <c r="F825" s="22"/>
      <c r="G825"/>
      <c r="H825" s="22"/>
      <c r="I825" s="22"/>
      <c r="J825" s="23"/>
    </row>
    <row r="826" spans="1:10" s="61" customFormat="1" ht="18.899999999999999" customHeight="1" x14ac:dyDescent="0.35">
      <c r="A826" s="25"/>
      <c r="B826" s="1"/>
      <c r="C826" s="22"/>
      <c r="D826" s="1"/>
      <c r="E826" s="22"/>
      <c r="F826" s="22"/>
      <c r="G826"/>
      <c r="H826" s="22"/>
      <c r="I826" s="22"/>
      <c r="J826" s="23"/>
    </row>
    <row r="827" spans="1:10" s="61" customFormat="1" ht="18.899999999999999" customHeight="1" x14ac:dyDescent="0.35">
      <c r="A827" s="25"/>
      <c r="B827" s="1"/>
      <c r="C827" s="22"/>
      <c r="D827" s="1"/>
      <c r="E827" s="22"/>
      <c r="F827" s="22"/>
      <c r="G827"/>
      <c r="H827" s="22"/>
      <c r="I827" s="22"/>
      <c r="J827" s="23"/>
    </row>
    <row r="828" spans="1:10" s="61" customFormat="1" ht="18.899999999999999" customHeight="1" x14ac:dyDescent="0.35">
      <c r="A828" s="25"/>
      <c r="B828" s="1"/>
      <c r="C828" s="22"/>
      <c r="D828" s="1"/>
      <c r="E828" s="22"/>
      <c r="F828" s="22"/>
      <c r="G828"/>
      <c r="H828" s="22"/>
      <c r="I828" s="22"/>
      <c r="J828" s="23"/>
    </row>
    <row r="829" spans="1:10" s="61" customFormat="1" ht="18.899999999999999" customHeight="1" x14ac:dyDescent="0.35">
      <c r="A829" s="25"/>
      <c r="B829" s="1"/>
      <c r="C829" s="22"/>
      <c r="D829" s="1"/>
      <c r="E829" s="22"/>
      <c r="F829" s="22"/>
      <c r="G829"/>
      <c r="H829" s="22"/>
      <c r="I829" s="22"/>
      <c r="J829" s="23"/>
    </row>
    <row r="830" spans="1:10" s="61" customFormat="1" ht="18.899999999999999" customHeight="1" x14ac:dyDescent="0.35">
      <c r="A830" s="25"/>
      <c r="B830" s="1"/>
      <c r="C830" s="22"/>
      <c r="D830" s="1"/>
      <c r="E830" s="22"/>
      <c r="F830" s="22"/>
      <c r="G830"/>
      <c r="H830" s="22"/>
      <c r="I830" s="22"/>
      <c r="J830" s="23"/>
    </row>
    <row r="831" spans="1:10" s="61" customFormat="1" ht="18.899999999999999" customHeight="1" x14ac:dyDescent="0.35">
      <c r="A831" s="25"/>
      <c r="B831" s="1"/>
      <c r="C831" s="22"/>
      <c r="D831" s="1"/>
      <c r="E831" s="22"/>
      <c r="F831" s="22"/>
      <c r="G831"/>
      <c r="H831" s="22"/>
      <c r="I831" s="22"/>
      <c r="J831" s="23"/>
    </row>
    <row r="832" spans="1:10" s="61" customFormat="1" ht="18.899999999999999" customHeight="1" x14ac:dyDescent="0.35">
      <c r="A832" s="25"/>
      <c r="B832" s="1"/>
      <c r="C832" s="22"/>
      <c r="D832" s="1"/>
      <c r="E832" s="22"/>
      <c r="F832" s="22"/>
      <c r="G832"/>
      <c r="H832" s="22"/>
      <c r="I832" s="22"/>
      <c r="J832" s="23"/>
    </row>
    <row r="833" spans="1:10" s="61" customFormat="1" ht="18.899999999999999" customHeight="1" x14ac:dyDescent="0.35">
      <c r="A833" s="25"/>
      <c r="B833" s="1"/>
      <c r="C833" s="22"/>
      <c r="D833" s="1"/>
      <c r="E833" s="22"/>
      <c r="F833" s="22"/>
      <c r="G833"/>
      <c r="H833" s="22"/>
      <c r="I833" s="22"/>
      <c r="J833" s="23"/>
    </row>
    <row r="834" spans="1:10" s="61" customFormat="1" ht="18.899999999999999" customHeight="1" x14ac:dyDescent="0.35">
      <c r="A834" s="25"/>
      <c r="B834" s="1"/>
      <c r="C834" s="22"/>
      <c r="D834" s="1"/>
      <c r="E834" s="22"/>
      <c r="F834" s="22"/>
      <c r="G834"/>
      <c r="H834" s="22"/>
      <c r="I834" s="22"/>
      <c r="J834" s="23"/>
    </row>
    <row r="835" spans="1:10" s="61" customFormat="1" ht="18.899999999999999" customHeight="1" x14ac:dyDescent="0.35">
      <c r="A835" s="25"/>
      <c r="B835" s="1"/>
      <c r="C835" s="22"/>
      <c r="D835" s="1"/>
      <c r="E835" s="22"/>
      <c r="F835" s="22"/>
      <c r="G835"/>
      <c r="H835" s="22"/>
      <c r="I835" s="22"/>
      <c r="J835" s="23"/>
    </row>
    <row r="836" spans="1:10" s="61" customFormat="1" ht="18.899999999999999" customHeight="1" x14ac:dyDescent="0.35">
      <c r="A836" s="25"/>
      <c r="B836" s="1"/>
      <c r="C836" s="22"/>
      <c r="D836" s="1"/>
      <c r="E836" s="22"/>
      <c r="F836" s="22"/>
      <c r="G836"/>
      <c r="H836" s="22"/>
      <c r="I836" s="22"/>
      <c r="J836" s="23"/>
    </row>
    <row r="837" spans="1:10" s="61" customFormat="1" ht="18.899999999999999" customHeight="1" x14ac:dyDescent="0.35">
      <c r="A837" s="25"/>
      <c r="B837" s="1"/>
      <c r="C837" s="22"/>
      <c r="D837" s="1"/>
      <c r="E837" s="22"/>
      <c r="F837" s="22"/>
      <c r="G837"/>
      <c r="H837" s="22"/>
      <c r="I837" s="22"/>
      <c r="J837" s="23"/>
    </row>
    <row r="838" spans="1:10" s="61" customFormat="1" ht="18.899999999999999" customHeight="1" x14ac:dyDescent="0.35">
      <c r="A838" s="25"/>
      <c r="B838" s="1"/>
      <c r="C838" s="22"/>
      <c r="D838" s="1"/>
      <c r="E838" s="22"/>
      <c r="F838" s="22"/>
      <c r="G838"/>
      <c r="H838" s="22"/>
      <c r="I838" s="22"/>
      <c r="J838" s="23"/>
    </row>
    <row r="839" spans="1:10" s="61" customFormat="1" ht="18.899999999999999" customHeight="1" x14ac:dyDescent="0.35">
      <c r="A839" s="25"/>
      <c r="B839" s="1"/>
      <c r="C839" s="22"/>
      <c r="D839" s="1"/>
      <c r="E839" s="22"/>
      <c r="F839" s="22"/>
      <c r="G839"/>
      <c r="H839" s="22"/>
      <c r="I839" s="22"/>
      <c r="J839" s="23"/>
    </row>
    <row r="840" spans="1:10" s="61" customFormat="1" ht="18.899999999999999" customHeight="1" x14ac:dyDescent="0.35">
      <c r="A840" s="25"/>
      <c r="B840" s="1"/>
      <c r="C840" s="22"/>
      <c r="D840" s="1"/>
      <c r="E840" s="22"/>
      <c r="F840" s="22"/>
      <c r="G840"/>
      <c r="H840" s="22"/>
      <c r="I840" s="22"/>
      <c r="J840" s="23"/>
    </row>
    <row r="841" spans="1:10" s="61" customFormat="1" ht="18.899999999999999" customHeight="1" x14ac:dyDescent="0.35">
      <c r="A841" s="25"/>
      <c r="B841" s="1"/>
      <c r="C841" s="22"/>
      <c r="D841" s="1"/>
      <c r="E841" s="22"/>
      <c r="F841" s="22"/>
      <c r="G841"/>
      <c r="H841" s="22"/>
      <c r="I841" s="22"/>
      <c r="J841" s="23"/>
    </row>
    <row r="842" spans="1:10" s="61" customFormat="1" ht="18.899999999999999" customHeight="1" x14ac:dyDescent="0.35">
      <c r="A842" s="25"/>
      <c r="B842" s="1"/>
      <c r="C842" s="22"/>
      <c r="D842" s="1"/>
      <c r="E842" s="22"/>
      <c r="F842" s="22"/>
      <c r="G842"/>
      <c r="H842" s="22"/>
      <c r="I842" s="22"/>
      <c r="J842" s="23"/>
    </row>
    <row r="843" spans="1:10" s="61" customFormat="1" ht="18.899999999999999" customHeight="1" x14ac:dyDescent="0.35">
      <c r="A843" s="25"/>
      <c r="B843" s="1"/>
      <c r="C843" s="22"/>
      <c r="D843" s="1"/>
      <c r="E843" s="22"/>
      <c r="F843" s="22"/>
      <c r="G843"/>
      <c r="H843" s="22"/>
      <c r="I843" s="22"/>
      <c r="J843" s="23"/>
    </row>
    <row r="844" spans="1:10" s="61" customFormat="1" ht="18.899999999999999" customHeight="1" x14ac:dyDescent="0.35">
      <c r="A844" s="25"/>
      <c r="B844" s="1"/>
      <c r="C844" s="22"/>
      <c r="D844" s="1"/>
      <c r="E844" s="22"/>
      <c r="F844" s="22"/>
      <c r="G844"/>
      <c r="H844" s="22"/>
      <c r="I844" s="22"/>
      <c r="J844" s="23"/>
    </row>
    <row r="845" spans="1:10" s="61" customFormat="1" ht="18.899999999999999" customHeight="1" x14ac:dyDescent="0.35">
      <c r="A845" s="25"/>
      <c r="B845" s="1"/>
      <c r="C845" s="22"/>
      <c r="D845" s="1"/>
      <c r="E845" s="22"/>
      <c r="F845" s="22"/>
      <c r="G845"/>
      <c r="H845" s="22"/>
      <c r="I845" s="22"/>
      <c r="J845" s="23"/>
    </row>
    <row r="846" spans="1:10" s="61" customFormat="1" ht="18.899999999999999" customHeight="1" x14ac:dyDescent="0.35">
      <c r="A846" s="25"/>
      <c r="B846" s="1"/>
      <c r="C846" s="22"/>
      <c r="D846" s="1"/>
      <c r="E846" s="22"/>
      <c r="F846" s="22"/>
      <c r="G846"/>
      <c r="H846" s="22"/>
      <c r="I846" s="22"/>
      <c r="J846" s="23"/>
    </row>
    <row r="847" spans="1:10" s="61" customFormat="1" ht="18.899999999999999" customHeight="1" x14ac:dyDescent="0.35">
      <c r="A847" s="25"/>
      <c r="B847" s="1"/>
      <c r="C847" s="22"/>
      <c r="D847" s="1"/>
      <c r="E847" s="22"/>
      <c r="F847" s="22"/>
      <c r="G847"/>
      <c r="H847" s="22"/>
      <c r="I847" s="22"/>
      <c r="J847" s="23"/>
    </row>
    <row r="848" spans="1:10" s="61" customFormat="1" ht="18.899999999999999" customHeight="1" x14ac:dyDescent="0.35">
      <c r="A848" s="25"/>
      <c r="B848" s="1"/>
      <c r="C848" s="22"/>
      <c r="D848" s="1"/>
      <c r="E848" s="22"/>
      <c r="F848" s="22"/>
      <c r="G848"/>
      <c r="H848" s="22"/>
      <c r="I848" s="22"/>
      <c r="J848" s="23"/>
    </row>
    <row r="849" spans="1:10" s="61" customFormat="1" ht="18.899999999999999" customHeight="1" x14ac:dyDescent="0.35">
      <c r="A849" s="25"/>
      <c r="B849" s="1"/>
      <c r="C849" s="22"/>
      <c r="D849" s="1"/>
      <c r="E849" s="22"/>
      <c r="F849" s="22"/>
      <c r="G849"/>
      <c r="H849" s="22"/>
      <c r="I849" s="22"/>
      <c r="J849" s="23"/>
    </row>
    <row r="850" spans="1:10" s="61" customFormat="1" ht="18.899999999999999" customHeight="1" x14ac:dyDescent="0.35">
      <c r="A850" s="25"/>
      <c r="B850" s="1"/>
      <c r="C850" s="22"/>
      <c r="D850" s="1"/>
      <c r="E850" s="22"/>
      <c r="F850" s="22"/>
      <c r="G850"/>
      <c r="H850" s="22"/>
      <c r="I850" s="22"/>
      <c r="J850" s="23"/>
    </row>
    <row r="851" spans="1:10" s="61" customFormat="1" ht="18.899999999999999" customHeight="1" x14ac:dyDescent="0.35">
      <c r="A851" s="25"/>
      <c r="B851" s="1"/>
      <c r="C851" s="22"/>
      <c r="D851" s="1"/>
      <c r="E851" s="22"/>
      <c r="F851" s="22"/>
      <c r="G851"/>
      <c r="H851" s="22"/>
      <c r="I851" s="22"/>
      <c r="J851" s="23"/>
    </row>
    <row r="852" spans="1:10" s="61" customFormat="1" ht="18.899999999999999" customHeight="1" x14ac:dyDescent="0.35">
      <c r="A852" s="25"/>
      <c r="B852" s="1"/>
      <c r="C852" s="22"/>
      <c r="D852" s="1"/>
      <c r="E852" s="22"/>
      <c r="F852" s="22"/>
      <c r="G852"/>
      <c r="H852" s="22"/>
      <c r="I852" s="22"/>
      <c r="J852" s="23"/>
    </row>
    <row r="853" spans="1:10" s="61" customFormat="1" ht="18.899999999999999" customHeight="1" x14ac:dyDescent="0.35">
      <c r="A853" s="25"/>
      <c r="B853" s="1"/>
      <c r="C853" s="22"/>
      <c r="D853" s="1"/>
      <c r="E853" s="22"/>
      <c r="F853" s="22"/>
      <c r="G853"/>
      <c r="H853" s="22"/>
      <c r="I853" s="22"/>
      <c r="J853" s="23"/>
    </row>
    <row r="854" spans="1:10" s="61" customFormat="1" ht="18.899999999999999" customHeight="1" x14ac:dyDescent="0.35">
      <c r="A854" s="25"/>
      <c r="B854" s="1"/>
      <c r="C854" s="22"/>
      <c r="D854" s="1"/>
      <c r="E854" s="22"/>
      <c r="F854" s="22"/>
      <c r="G854"/>
      <c r="H854" s="22"/>
      <c r="I854" s="22"/>
      <c r="J854" s="23"/>
    </row>
    <row r="855" spans="1:10" s="61" customFormat="1" ht="18.899999999999999" customHeight="1" x14ac:dyDescent="0.35">
      <c r="A855" s="25"/>
      <c r="B855" s="1"/>
      <c r="C855" s="22"/>
      <c r="D855" s="1"/>
      <c r="E855" s="22"/>
      <c r="F855" s="22"/>
      <c r="G855"/>
      <c r="H855" s="22"/>
      <c r="I855" s="22"/>
      <c r="J855" s="23"/>
    </row>
    <row r="856" spans="1:10" s="61" customFormat="1" ht="18.899999999999999" customHeight="1" x14ac:dyDescent="0.35">
      <c r="A856" s="25"/>
      <c r="B856" s="1"/>
      <c r="C856" s="22"/>
      <c r="D856" s="1"/>
      <c r="E856" s="22"/>
      <c r="F856" s="22"/>
      <c r="G856"/>
      <c r="H856" s="22"/>
      <c r="I856" s="22"/>
      <c r="J856" s="23"/>
    </row>
    <row r="857" spans="1:10" s="61" customFormat="1" ht="18.899999999999999" customHeight="1" x14ac:dyDescent="0.35">
      <c r="A857" s="25"/>
      <c r="B857" s="1"/>
      <c r="C857" s="22"/>
      <c r="D857" s="1"/>
      <c r="E857" s="22"/>
      <c r="F857" s="22"/>
      <c r="G857"/>
      <c r="H857" s="22"/>
      <c r="I857" s="22"/>
      <c r="J857" s="23"/>
    </row>
    <row r="858" spans="1:10" s="61" customFormat="1" ht="18.899999999999999" customHeight="1" x14ac:dyDescent="0.35">
      <c r="A858" s="25"/>
      <c r="B858" s="1"/>
      <c r="C858" s="22"/>
      <c r="D858" s="1"/>
      <c r="E858" s="22"/>
      <c r="F858" s="22"/>
      <c r="G858"/>
      <c r="H858" s="22"/>
      <c r="I858" s="22"/>
      <c r="J858" s="23"/>
    </row>
    <row r="859" spans="1:10" s="61" customFormat="1" ht="18.899999999999999" customHeight="1" x14ac:dyDescent="0.35">
      <c r="A859" s="25"/>
      <c r="B859" s="1"/>
      <c r="C859" s="22"/>
      <c r="D859" s="1"/>
      <c r="E859" s="22"/>
      <c r="F859" s="22"/>
      <c r="G859"/>
      <c r="H859" s="22"/>
      <c r="I859" s="22"/>
      <c r="J859" s="23"/>
    </row>
    <row r="860" spans="1:10" s="61" customFormat="1" ht="18.899999999999999" customHeight="1" x14ac:dyDescent="0.35">
      <c r="A860" s="25"/>
      <c r="B860" s="1"/>
      <c r="C860" s="22"/>
      <c r="D860" s="1"/>
      <c r="E860" s="22"/>
      <c r="F860" s="22"/>
      <c r="G860"/>
      <c r="H860" s="22"/>
      <c r="I860" s="22"/>
      <c r="J860" s="23"/>
    </row>
    <row r="861" spans="1:10" s="61" customFormat="1" ht="18.899999999999999" customHeight="1" x14ac:dyDescent="0.35">
      <c r="A861" s="25"/>
      <c r="B861" s="1"/>
      <c r="C861" s="22"/>
      <c r="D861" s="1"/>
      <c r="E861" s="22"/>
      <c r="F861" s="22"/>
      <c r="G861"/>
      <c r="H861" s="22"/>
      <c r="I861" s="22"/>
      <c r="J861" s="23"/>
    </row>
    <row r="862" spans="1:10" s="61" customFormat="1" ht="18.899999999999999" customHeight="1" x14ac:dyDescent="0.35">
      <c r="A862" s="25"/>
      <c r="B862" s="1"/>
      <c r="C862" s="22"/>
      <c r="D862" s="1"/>
      <c r="E862" s="22"/>
      <c r="F862" s="22"/>
      <c r="G862"/>
      <c r="H862" s="22"/>
      <c r="I862" s="22"/>
      <c r="J862" s="23"/>
    </row>
    <row r="863" spans="1:10" s="61" customFormat="1" ht="18.899999999999999" customHeight="1" x14ac:dyDescent="0.35">
      <c r="A863" s="25"/>
      <c r="B863" s="1"/>
      <c r="C863" s="22"/>
      <c r="D863" s="1"/>
      <c r="E863" s="22"/>
      <c r="F863" s="22"/>
      <c r="G863"/>
      <c r="H863" s="22"/>
      <c r="I863" s="22"/>
      <c r="J863" s="23"/>
    </row>
    <row r="864" spans="1:10" s="61" customFormat="1" ht="18.899999999999999" customHeight="1" x14ac:dyDescent="0.35">
      <c r="A864" s="25"/>
      <c r="B864" s="1"/>
      <c r="C864" s="22"/>
      <c r="D864" s="1"/>
      <c r="E864" s="22"/>
      <c r="F864" s="22"/>
      <c r="G864"/>
      <c r="H864" s="22"/>
      <c r="I864" s="22"/>
      <c r="J864" s="23"/>
    </row>
    <row r="865" spans="1:10" s="61" customFormat="1" ht="18.899999999999999" customHeight="1" x14ac:dyDescent="0.35">
      <c r="A865" s="25"/>
      <c r="B865" s="1"/>
      <c r="C865" s="22"/>
      <c r="D865" s="1"/>
      <c r="E865" s="22"/>
      <c r="F865" s="22"/>
      <c r="G865"/>
      <c r="H865" s="22"/>
      <c r="I865" s="22"/>
      <c r="J865" s="23"/>
    </row>
    <row r="866" spans="1:10" s="61" customFormat="1" ht="18.899999999999999" customHeight="1" x14ac:dyDescent="0.35">
      <c r="A866" s="25"/>
      <c r="B866" s="1"/>
      <c r="C866" s="22"/>
      <c r="D866" s="1"/>
      <c r="E866" s="22"/>
      <c r="F866" s="22"/>
      <c r="G866"/>
      <c r="H866" s="22"/>
      <c r="I866" s="22"/>
      <c r="J866" s="23"/>
    </row>
    <row r="867" spans="1:10" s="61" customFormat="1" ht="18.899999999999999" customHeight="1" x14ac:dyDescent="0.35">
      <c r="A867" s="25"/>
      <c r="B867" s="1"/>
      <c r="C867" s="22"/>
      <c r="D867" s="1"/>
      <c r="E867" s="22"/>
      <c r="F867" s="22"/>
      <c r="G867"/>
      <c r="H867" s="22"/>
      <c r="I867" s="22"/>
      <c r="J867" s="23"/>
    </row>
    <row r="868" spans="1:10" s="61" customFormat="1" ht="18.899999999999999" customHeight="1" x14ac:dyDescent="0.35">
      <c r="A868" s="25"/>
      <c r="B868" s="1"/>
      <c r="C868" s="22"/>
      <c r="D868" s="1"/>
      <c r="E868" s="22"/>
      <c r="F868" s="22"/>
      <c r="G868"/>
      <c r="H868" s="22"/>
      <c r="I868" s="22"/>
      <c r="J868" s="23"/>
    </row>
    <row r="869" spans="1:10" s="61" customFormat="1" ht="18.899999999999999" customHeight="1" x14ac:dyDescent="0.35">
      <c r="A869" s="25"/>
      <c r="B869" s="1"/>
      <c r="C869" s="22"/>
      <c r="D869" s="1"/>
      <c r="E869" s="22"/>
      <c r="F869" s="22"/>
      <c r="G869"/>
      <c r="H869" s="22"/>
      <c r="I869" s="22"/>
      <c r="J869" s="23"/>
    </row>
    <row r="870" spans="1:10" s="61" customFormat="1" ht="18.899999999999999" customHeight="1" x14ac:dyDescent="0.35">
      <c r="A870" s="25"/>
      <c r="B870" s="1"/>
      <c r="C870" s="22"/>
      <c r="D870" s="1"/>
      <c r="E870" s="22"/>
      <c r="F870" s="22"/>
      <c r="G870"/>
      <c r="H870" s="22"/>
      <c r="I870" s="22"/>
      <c r="J870" s="23"/>
    </row>
    <row r="871" spans="1:10" s="61" customFormat="1" ht="18.899999999999999" customHeight="1" x14ac:dyDescent="0.35">
      <c r="A871" s="25"/>
      <c r="B871" s="1"/>
      <c r="C871" s="22"/>
      <c r="D871" s="1"/>
      <c r="E871" s="22"/>
      <c r="F871" s="22"/>
      <c r="G871"/>
      <c r="H871" s="22"/>
      <c r="I871" s="22"/>
      <c r="J871" s="23"/>
    </row>
    <row r="872" spans="1:10" s="61" customFormat="1" ht="18.899999999999999" customHeight="1" x14ac:dyDescent="0.35">
      <c r="A872" s="25"/>
      <c r="B872" s="1"/>
      <c r="C872" s="22"/>
      <c r="D872" s="1"/>
      <c r="E872" s="22"/>
      <c r="F872" s="22"/>
      <c r="G872"/>
      <c r="H872" s="22"/>
      <c r="I872" s="22"/>
      <c r="J872" s="23"/>
    </row>
    <row r="873" spans="1:10" s="61" customFormat="1" ht="18.899999999999999" customHeight="1" x14ac:dyDescent="0.35">
      <c r="A873" s="25"/>
      <c r="B873" s="1"/>
      <c r="C873" s="22"/>
      <c r="D873" s="1"/>
      <c r="E873" s="22"/>
      <c r="F873" s="22"/>
      <c r="G873"/>
      <c r="H873" s="22"/>
      <c r="I873" s="22"/>
      <c r="J873" s="23"/>
    </row>
    <row r="874" spans="1:10" s="61" customFormat="1" ht="18.899999999999999" customHeight="1" x14ac:dyDescent="0.35">
      <c r="A874" s="25"/>
      <c r="B874" s="1"/>
      <c r="C874" s="22"/>
      <c r="D874" s="1"/>
      <c r="E874" s="22"/>
      <c r="F874" s="22"/>
      <c r="G874"/>
      <c r="H874" s="22"/>
      <c r="I874" s="22"/>
      <c r="J874" s="23"/>
    </row>
    <row r="875" spans="1:10" s="61" customFormat="1" ht="18.899999999999999" customHeight="1" x14ac:dyDescent="0.35">
      <c r="A875" s="25"/>
      <c r="B875" s="1"/>
      <c r="C875" s="22"/>
      <c r="D875" s="1"/>
      <c r="E875" s="22"/>
      <c r="F875" s="22"/>
      <c r="G875"/>
      <c r="H875" s="22"/>
      <c r="I875" s="22"/>
      <c r="J875" s="23"/>
    </row>
    <row r="876" spans="1:10" s="61" customFormat="1" ht="18.899999999999999" customHeight="1" x14ac:dyDescent="0.35">
      <c r="A876" s="25"/>
      <c r="B876" s="1"/>
      <c r="C876" s="22"/>
      <c r="D876" s="1"/>
      <c r="E876" s="22"/>
      <c r="F876" s="22"/>
      <c r="G876"/>
      <c r="H876" s="22"/>
      <c r="I876" s="22"/>
      <c r="J876" s="23"/>
    </row>
    <row r="877" spans="1:10" s="61" customFormat="1" ht="18.899999999999999" customHeight="1" x14ac:dyDescent="0.35">
      <c r="A877" s="25"/>
      <c r="B877" s="1"/>
      <c r="C877" s="22"/>
      <c r="D877" s="1"/>
      <c r="E877" s="22"/>
      <c r="F877" s="22"/>
      <c r="G877"/>
      <c r="H877" s="22"/>
      <c r="I877" s="22"/>
      <c r="J877" s="23"/>
    </row>
    <row r="878" spans="1:10" s="61" customFormat="1" ht="18.899999999999999" customHeight="1" x14ac:dyDescent="0.35">
      <c r="A878" s="25"/>
      <c r="B878" s="1"/>
      <c r="C878" s="22"/>
      <c r="D878" s="1"/>
      <c r="E878" s="22"/>
      <c r="F878" s="22"/>
      <c r="G878"/>
      <c r="H878" s="22"/>
      <c r="I878" s="22"/>
      <c r="J878" s="23"/>
    </row>
    <row r="879" spans="1:10" s="61" customFormat="1" ht="18.899999999999999" customHeight="1" x14ac:dyDescent="0.35">
      <c r="A879" s="25"/>
      <c r="B879" s="1"/>
      <c r="C879" s="22"/>
      <c r="D879" s="1"/>
      <c r="E879" s="22"/>
      <c r="F879" s="22"/>
      <c r="G879"/>
      <c r="H879" s="22"/>
      <c r="I879" s="22"/>
      <c r="J879" s="23"/>
    </row>
    <row r="880" spans="1:10" s="61" customFormat="1" ht="18.899999999999999" customHeight="1" x14ac:dyDescent="0.35">
      <c r="A880" s="25"/>
      <c r="B880" s="1"/>
      <c r="C880" s="22"/>
      <c r="D880" s="1"/>
      <c r="E880" s="22"/>
      <c r="F880" s="22"/>
      <c r="G880"/>
      <c r="H880" s="22"/>
      <c r="I880" s="22"/>
      <c r="J880" s="23"/>
    </row>
    <row r="881" spans="1:10" s="61" customFormat="1" ht="18.899999999999999" customHeight="1" x14ac:dyDescent="0.35">
      <c r="A881" s="25"/>
      <c r="B881" s="1"/>
      <c r="C881" s="22"/>
      <c r="D881" s="1"/>
      <c r="E881" s="22"/>
      <c r="F881" s="22"/>
      <c r="G881"/>
      <c r="H881" s="22"/>
      <c r="I881" s="22"/>
      <c r="J881" s="23"/>
    </row>
    <row r="882" spans="1:10" s="61" customFormat="1" ht="18.899999999999999" customHeight="1" x14ac:dyDescent="0.35">
      <c r="A882" s="25"/>
      <c r="B882" s="1"/>
      <c r="C882" s="22"/>
      <c r="D882" s="1"/>
      <c r="E882" s="22"/>
      <c r="F882" s="22"/>
      <c r="G882"/>
      <c r="H882" s="22"/>
      <c r="I882" s="22"/>
      <c r="J882" s="23"/>
    </row>
    <row r="883" spans="1:10" s="61" customFormat="1" ht="18.899999999999999" customHeight="1" x14ac:dyDescent="0.35">
      <c r="A883" s="25"/>
      <c r="B883" s="1"/>
      <c r="C883" s="22"/>
      <c r="D883" s="1"/>
      <c r="E883" s="22"/>
      <c r="F883" s="22"/>
      <c r="G883"/>
      <c r="H883" s="22"/>
      <c r="I883" s="22"/>
      <c r="J883" s="23"/>
    </row>
    <row r="884" spans="1:10" s="61" customFormat="1" ht="18.899999999999999" customHeight="1" x14ac:dyDescent="0.35">
      <c r="A884" s="25"/>
      <c r="B884" s="1"/>
      <c r="C884" s="22"/>
      <c r="D884" s="1"/>
      <c r="E884" s="22"/>
      <c r="F884" s="22"/>
      <c r="G884"/>
      <c r="H884" s="22"/>
      <c r="I884" s="22"/>
      <c r="J884" s="23"/>
    </row>
    <row r="885" spans="1:10" s="61" customFormat="1" ht="18.899999999999999" customHeight="1" x14ac:dyDescent="0.35">
      <c r="A885" s="25"/>
      <c r="B885" s="1"/>
      <c r="C885" s="22"/>
      <c r="D885" s="1"/>
      <c r="E885" s="22"/>
      <c r="F885" s="22"/>
      <c r="G885"/>
      <c r="H885" s="22"/>
      <c r="I885" s="22"/>
      <c r="J885" s="23"/>
    </row>
    <row r="886" spans="1:10" s="61" customFormat="1" ht="18.899999999999999" customHeight="1" x14ac:dyDescent="0.35">
      <c r="A886" s="25"/>
      <c r="B886" s="1"/>
      <c r="C886" s="22"/>
      <c r="D886" s="1"/>
      <c r="E886" s="22"/>
      <c r="F886" s="22"/>
      <c r="G886"/>
      <c r="H886" s="22"/>
      <c r="I886" s="22"/>
      <c r="J886" s="23"/>
    </row>
    <row r="887" spans="1:10" s="61" customFormat="1" ht="18.899999999999999" customHeight="1" x14ac:dyDescent="0.35">
      <c r="A887" s="25"/>
      <c r="B887" s="1"/>
      <c r="C887" s="22"/>
      <c r="D887" s="1"/>
      <c r="E887" s="22"/>
      <c r="F887" s="22"/>
      <c r="G887"/>
      <c r="H887" s="22"/>
      <c r="I887" s="22"/>
      <c r="J887" s="23"/>
    </row>
    <row r="888" spans="1:10" s="61" customFormat="1" ht="18.899999999999999" customHeight="1" x14ac:dyDescent="0.35">
      <c r="A888" s="25"/>
      <c r="B888" s="1"/>
      <c r="C888" s="22"/>
      <c r="D888" s="1"/>
      <c r="E888" s="22"/>
      <c r="F888" s="22"/>
      <c r="G888"/>
      <c r="H888" s="22"/>
      <c r="I888" s="22"/>
      <c r="J888" s="23"/>
    </row>
    <row r="889" spans="1:10" s="61" customFormat="1" ht="18.899999999999999" customHeight="1" x14ac:dyDescent="0.35">
      <c r="A889" s="25"/>
      <c r="B889" s="1"/>
      <c r="C889" s="22"/>
      <c r="D889" s="1"/>
      <c r="E889" s="22"/>
      <c r="F889" s="22"/>
      <c r="G889"/>
      <c r="H889" s="22"/>
      <c r="I889" s="22"/>
      <c r="J889" s="23"/>
    </row>
    <row r="890" spans="1:10" s="61" customFormat="1" ht="18.899999999999999" customHeight="1" x14ac:dyDescent="0.35">
      <c r="A890" s="25"/>
      <c r="B890" s="1"/>
      <c r="C890" s="22"/>
      <c r="D890" s="1"/>
      <c r="E890" s="22"/>
      <c r="F890" s="22"/>
      <c r="G890"/>
      <c r="H890" s="22"/>
      <c r="I890" s="22"/>
      <c r="J890" s="23"/>
    </row>
    <row r="891" spans="1:10" s="61" customFormat="1" ht="18.899999999999999" customHeight="1" x14ac:dyDescent="0.35">
      <c r="A891" s="25"/>
      <c r="B891" s="1"/>
      <c r="C891" s="22"/>
      <c r="D891" s="1"/>
      <c r="E891" s="22"/>
      <c r="F891" s="22"/>
      <c r="G891"/>
      <c r="H891" s="22"/>
      <c r="I891" s="22"/>
      <c r="J891" s="23"/>
    </row>
    <row r="892" spans="1:10" s="61" customFormat="1" ht="18.899999999999999" customHeight="1" x14ac:dyDescent="0.35">
      <c r="A892" s="25"/>
      <c r="B892" s="1"/>
      <c r="C892" s="22"/>
      <c r="D892" s="1"/>
      <c r="E892" s="22"/>
      <c r="F892" s="22"/>
      <c r="G892"/>
      <c r="H892" s="22"/>
      <c r="I892" s="22"/>
      <c r="J892" s="23"/>
    </row>
    <row r="893" spans="1:10" s="61" customFormat="1" ht="18.899999999999999" customHeight="1" x14ac:dyDescent="0.35">
      <c r="A893" s="25"/>
      <c r="B893" s="1"/>
      <c r="C893" s="22"/>
      <c r="D893" s="1"/>
      <c r="E893" s="22"/>
      <c r="F893" s="22"/>
      <c r="G893"/>
      <c r="H893" s="22"/>
      <c r="I893" s="22"/>
      <c r="J893" s="23"/>
    </row>
    <row r="894" spans="1:10" s="61" customFormat="1" ht="18.899999999999999" customHeight="1" x14ac:dyDescent="0.35">
      <c r="A894" s="25"/>
      <c r="B894" s="1"/>
      <c r="C894" s="22"/>
      <c r="D894" s="1"/>
      <c r="E894" s="22"/>
      <c r="F894" s="22"/>
      <c r="G894"/>
      <c r="H894" s="22"/>
      <c r="I894" s="22"/>
      <c r="J894" s="23"/>
    </row>
    <row r="895" spans="1:10" s="61" customFormat="1" ht="18.899999999999999" customHeight="1" x14ac:dyDescent="0.35">
      <c r="A895" s="25"/>
      <c r="B895" s="1"/>
      <c r="C895" s="22"/>
      <c r="D895" s="1"/>
      <c r="E895" s="22"/>
      <c r="F895" s="22"/>
      <c r="G895"/>
      <c r="H895" s="22"/>
      <c r="I895" s="22"/>
      <c r="J895" s="23"/>
    </row>
    <row r="896" spans="1:10" s="61" customFormat="1" ht="18.899999999999999" customHeight="1" x14ac:dyDescent="0.35">
      <c r="A896" s="25"/>
      <c r="B896" s="1"/>
      <c r="C896" s="22"/>
      <c r="D896" s="1"/>
      <c r="E896" s="22"/>
      <c r="F896" s="22"/>
      <c r="G896"/>
      <c r="H896" s="22"/>
      <c r="I896" s="22"/>
      <c r="J896" s="23"/>
    </row>
    <row r="897" spans="1:10" s="61" customFormat="1" ht="18.899999999999999" customHeight="1" x14ac:dyDescent="0.35">
      <c r="A897" s="25"/>
      <c r="B897" s="1"/>
      <c r="C897" s="22"/>
      <c r="D897" s="1"/>
      <c r="E897" s="22"/>
      <c r="F897" s="22"/>
      <c r="G897"/>
      <c r="H897" s="22"/>
      <c r="I897" s="22"/>
      <c r="J897" s="23"/>
    </row>
    <row r="898" spans="1:10" s="61" customFormat="1" ht="18.899999999999999" customHeight="1" x14ac:dyDescent="0.35">
      <c r="A898" s="25"/>
      <c r="B898" s="1"/>
      <c r="C898" s="22"/>
      <c r="D898" s="1"/>
      <c r="E898" s="22"/>
      <c r="F898" s="22"/>
      <c r="G898"/>
      <c r="H898" s="22"/>
      <c r="I898" s="22"/>
      <c r="J898" s="23"/>
    </row>
    <row r="899" spans="1:10" s="61" customFormat="1" ht="18.899999999999999" customHeight="1" x14ac:dyDescent="0.35">
      <c r="A899" s="25"/>
      <c r="B899" s="1"/>
      <c r="C899" s="22"/>
      <c r="D899" s="1"/>
      <c r="E899" s="22"/>
      <c r="F899" s="22"/>
      <c r="G899"/>
      <c r="H899" s="22"/>
      <c r="I899" s="22"/>
      <c r="J899" s="23"/>
    </row>
    <row r="900" spans="1:10" s="61" customFormat="1" ht="18.899999999999999" customHeight="1" x14ac:dyDescent="0.35">
      <c r="A900" s="25"/>
      <c r="B900" s="1"/>
      <c r="C900" s="22"/>
      <c r="D900" s="1"/>
      <c r="E900" s="22"/>
      <c r="F900" s="22"/>
      <c r="G900"/>
      <c r="H900" s="22"/>
      <c r="I900" s="22"/>
      <c r="J900" s="23"/>
    </row>
    <row r="901" spans="1:10" s="61" customFormat="1" ht="18.899999999999999" customHeight="1" x14ac:dyDescent="0.35">
      <c r="A901" s="25"/>
      <c r="B901" s="1"/>
      <c r="C901" s="22"/>
      <c r="D901" s="1"/>
      <c r="E901" s="22"/>
      <c r="F901" s="22"/>
      <c r="G901"/>
      <c r="H901" s="22"/>
      <c r="I901" s="22"/>
      <c r="J901" s="23"/>
    </row>
    <row r="902" spans="1:10" s="61" customFormat="1" ht="18.899999999999999" customHeight="1" x14ac:dyDescent="0.35">
      <c r="A902" s="25"/>
      <c r="B902" s="1"/>
      <c r="C902" s="22"/>
      <c r="D902" s="1"/>
      <c r="E902" s="22"/>
      <c r="F902" s="22"/>
      <c r="G902"/>
      <c r="H902" s="22"/>
      <c r="I902" s="22"/>
      <c r="J902" s="23"/>
    </row>
    <row r="903" spans="1:10" s="61" customFormat="1" ht="18.899999999999999" customHeight="1" x14ac:dyDescent="0.35">
      <c r="A903" s="25"/>
      <c r="B903" s="1"/>
      <c r="C903" s="22"/>
      <c r="D903" s="1"/>
      <c r="E903" s="22"/>
      <c r="F903" s="22"/>
      <c r="G903"/>
      <c r="H903" s="22"/>
      <c r="I903" s="22"/>
      <c r="J903" s="23"/>
    </row>
    <row r="904" spans="1:10" s="61" customFormat="1" ht="18.899999999999999" customHeight="1" x14ac:dyDescent="0.35">
      <c r="A904" s="25"/>
      <c r="B904" s="1"/>
      <c r="C904" s="22"/>
      <c r="D904" s="1"/>
      <c r="E904" s="22"/>
      <c r="F904" s="22"/>
      <c r="G904"/>
      <c r="H904" s="22"/>
      <c r="I904" s="22"/>
      <c r="J904" s="23"/>
    </row>
    <row r="905" spans="1:10" s="61" customFormat="1" ht="18.899999999999999" customHeight="1" x14ac:dyDescent="0.35">
      <c r="A905" s="25"/>
      <c r="B905" s="1"/>
      <c r="C905" s="22"/>
      <c r="D905" s="1"/>
      <c r="E905" s="22"/>
      <c r="F905" s="22"/>
      <c r="G905"/>
      <c r="H905" s="22"/>
      <c r="I905" s="22"/>
      <c r="J905" s="23"/>
    </row>
    <row r="906" spans="1:10" s="61" customFormat="1" ht="18.899999999999999" customHeight="1" x14ac:dyDescent="0.35">
      <c r="A906" s="25"/>
      <c r="B906" s="1"/>
      <c r="C906" s="22"/>
      <c r="D906" s="1"/>
      <c r="E906" s="22"/>
      <c r="F906" s="22"/>
      <c r="G906"/>
      <c r="H906" s="22"/>
      <c r="I906" s="22"/>
      <c r="J906" s="23"/>
    </row>
    <row r="907" spans="1:10" s="61" customFormat="1" ht="18.899999999999999" customHeight="1" x14ac:dyDescent="0.35">
      <c r="A907" s="25"/>
      <c r="B907" s="1"/>
      <c r="C907" s="22"/>
      <c r="D907" s="1"/>
      <c r="E907" s="22"/>
      <c r="F907" s="22"/>
      <c r="G907"/>
      <c r="H907" s="22"/>
      <c r="I907" s="22"/>
      <c r="J907" s="23"/>
    </row>
    <row r="908" spans="1:10" s="61" customFormat="1" ht="18.899999999999999" customHeight="1" x14ac:dyDescent="0.35">
      <c r="A908" s="25"/>
      <c r="B908" s="1"/>
      <c r="C908" s="22"/>
      <c r="D908" s="1"/>
      <c r="E908" s="22"/>
      <c r="F908" s="22"/>
      <c r="G908"/>
      <c r="H908" s="22"/>
      <c r="I908" s="22"/>
      <c r="J908" s="23"/>
    </row>
    <row r="909" spans="1:10" s="61" customFormat="1" ht="18.899999999999999" customHeight="1" x14ac:dyDescent="0.35">
      <c r="A909" s="25"/>
      <c r="B909" s="1"/>
      <c r="C909" s="22"/>
      <c r="D909" s="1"/>
      <c r="E909" s="22"/>
      <c r="F909" s="22"/>
      <c r="G909"/>
      <c r="H909" s="22"/>
      <c r="I909" s="22"/>
      <c r="J909" s="23"/>
    </row>
    <row r="910" spans="1:10" s="61" customFormat="1" ht="18.899999999999999" customHeight="1" x14ac:dyDescent="0.35">
      <c r="A910" s="25"/>
      <c r="B910" s="1"/>
      <c r="C910" s="22"/>
      <c r="D910" s="1"/>
      <c r="E910" s="22"/>
      <c r="F910" s="22"/>
      <c r="G910"/>
      <c r="H910" s="22"/>
      <c r="I910" s="22"/>
      <c r="J910" s="23"/>
    </row>
    <row r="911" spans="1:10" s="61" customFormat="1" ht="18.899999999999999" customHeight="1" x14ac:dyDescent="0.35">
      <c r="A911" s="25"/>
      <c r="B911" s="1"/>
      <c r="C911" s="22"/>
      <c r="D911" s="1"/>
      <c r="E911" s="22"/>
      <c r="F911" s="22"/>
      <c r="G911"/>
      <c r="H911" s="22"/>
      <c r="I911" s="22"/>
      <c r="J911" s="23"/>
    </row>
    <row r="912" spans="1:10" s="61" customFormat="1" ht="18.899999999999999" customHeight="1" x14ac:dyDescent="0.35">
      <c r="A912" s="25"/>
      <c r="B912" s="1"/>
      <c r="C912" s="22"/>
      <c r="D912" s="1"/>
      <c r="E912" s="22"/>
      <c r="F912" s="22"/>
      <c r="G912"/>
      <c r="H912" s="22"/>
      <c r="I912" s="22"/>
      <c r="J912" s="23"/>
    </row>
    <row r="913" spans="1:10" s="61" customFormat="1" ht="18.899999999999999" customHeight="1" x14ac:dyDescent="0.35">
      <c r="A913" s="25"/>
      <c r="B913" s="1"/>
      <c r="C913" s="22"/>
      <c r="D913" s="1"/>
      <c r="E913" s="22"/>
      <c r="F913" s="22"/>
      <c r="G913"/>
      <c r="H913" s="22"/>
      <c r="I913" s="22"/>
      <c r="J913" s="23"/>
    </row>
    <row r="914" spans="1:10" s="61" customFormat="1" ht="18.899999999999999" customHeight="1" x14ac:dyDescent="0.35">
      <c r="A914" s="25"/>
      <c r="B914" s="1"/>
      <c r="C914" s="22"/>
      <c r="D914" s="1"/>
      <c r="E914" s="22"/>
      <c r="F914" s="22"/>
      <c r="G914"/>
      <c r="H914" s="22"/>
      <c r="I914" s="22"/>
      <c r="J914" s="23"/>
    </row>
    <row r="915" spans="1:10" s="61" customFormat="1" ht="18.899999999999999" customHeight="1" x14ac:dyDescent="0.35">
      <c r="A915" s="25"/>
      <c r="B915" s="1"/>
      <c r="C915" s="22"/>
      <c r="D915" s="1"/>
      <c r="E915" s="22"/>
      <c r="F915" s="22"/>
      <c r="G915"/>
      <c r="H915" s="22"/>
      <c r="I915" s="22"/>
      <c r="J915" s="23"/>
    </row>
    <row r="916" spans="1:10" s="61" customFormat="1" ht="18.899999999999999" customHeight="1" x14ac:dyDescent="0.35">
      <c r="A916" s="25"/>
      <c r="B916" s="1"/>
      <c r="C916" s="22"/>
      <c r="D916" s="1"/>
      <c r="E916" s="22"/>
      <c r="F916" s="22"/>
      <c r="G916"/>
      <c r="H916" s="22"/>
      <c r="I916" s="22"/>
      <c r="J916" s="23"/>
    </row>
    <row r="917" spans="1:10" s="61" customFormat="1" ht="18.899999999999999" customHeight="1" x14ac:dyDescent="0.35">
      <c r="A917" s="25"/>
      <c r="B917" s="1"/>
      <c r="C917" s="22"/>
      <c r="D917" s="1"/>
      <c r="E917" s="22"/>
      <c r="F917" s="22"/>
      <c r="G917"/>
      <c r="H917" s="22"/>
      <c r="I917" s="22"/>
      <c r="J917" s="23"/>
    </row>
    <row r="918" spans="1:10" s="61" customFormat="1" ht="18.899999999999999" customHeight="1" x14ac:dyDescent="0.35">
      <c r="A918" s="25"/>
      <c r="B918" s="1"/>
      <c r="C918" s="22"/>
      <c r="D918" s="1"/>
      <c r="E918" s="22"/>
      <c r="F918" s="22"/>
      <c r="G918"/>
      <c r="H918" s="22"/>
      <c r="I918" s="22"/>
      <c r="J918" s="23"/>
    </row>
    <row r="919" spans="1:10" s="61" customFormat="1" ht="18.899999999999999" customHeight="1" x14ac:dyDescent="0.35">
      <c r="A919" s="25"/>
      <c r="B919" s="1"/>
      <c r="C919" s="22"/>
      <c r="D919" s="1"/>
      <c r="E919" s="22"/>
      <c r="F919" s="22"/>
      <c r="G919"/>
      <c r="H919" s="22"/>
      <c r="I919" s="22"/>
      <c r="J919" s="23"/>
    </row>
    <row r="920" spans="1:10" s="61" customFormat="1" ht="18.899999999999999" customHeight="1" x14ac:dyDescent="0.35">
      <c r="A920" s="25"/>
      <c r="B920" s="1"/>
      <c r="C920" s="22"/>
      <c r="D920" s="1"/>
      <c r="E920" s="22"/>
      <c r="F920" s="22"/>
      <c r="G920"/>
      <c r="H920" s="22"/>
      <c r="I920" s="22"/>
      <c r="J920" s="23"/>
    </row>
    <row r="921" spans="1:10" s="61" customFormat="1" ht="18.899999999999999" customHeight="1" x14ac:dyDescent="0.35">
      <c r="A921" s="25"/>
      <c r="B921" s="1"/>
      <c r="C921" s="22"/>
      <c r="D921" s="1"/>
      <c r="E921" s="22"/>
      <c r="F921" s="22"/>
      <c r="G921"/>
      <c r="H921" s="22"/>
      <c r="I921" s="22"/>
      <c r="J921" s="23"/>
    </row>
    <row r="922" spans="1:10" s="61" customFormat="1" ht="18.899999999999999" customHeight="1" x14ac:dyDescent="0.35">
      <c r="A922" s="25"/>
      <c r="B922" s="1"/>
      <c r="C922" s="22"/>
      <c r="D922" s="1"/>
      <c r="E922" s="22"/>
      <c r="F922" s="22"/>
      <c r="G922"/>
      <c r="H922" s="22"/>
      <c r="I922" s="22"/>
      <c r="J922" s="23"/>
    </row>
    <row r="923" spans="1:10" s="61" customFormat="1" ht="18.899999999999999" customHeight="1" x14ac:dyDescent="0.35">
      <c r="A923" s="25"/>
      <c r="B923" s="1"/>
      <c r="C923" s="22"/>
      <c r="D923" s="1"/>
      <c r="E923" s="22"/>
      <c r="F923" s="22"/>
      <c r="G923"/>
      <c r="H923" s="22"/>
      <c r="I923" s="22"/>
      <c r="J923" s="23"/>
    </row>
    <row r="924" spans="1:10" s="61" customFormat="1" ht="18.899999999999999" customHeight="1" x14ac:dyDescent="0.35">
      <c r="A924" s="25"/>
      <c r="B924" s="1"/>
      <c r="C924" s="22"/>
      <c r="D924" s="1"/>
      <c r="E924" s="22"/>
      <c r="F924" s="22"/>
      <c r="G924"/>
      <c r="H924" s="22"/>
      <c r="I924" s="22"/>
      <c r="J924" s="23"/>
    </row>
    <row r="925" spans="1:10" s="61" customFormat="1" ht="18.899999999999999" customHeight="1" x14ac:dyDescent="0.35">
      <c r="A925" s="25"/>
      <c r="B925" s="1"/>
      <c r="C925" s="22"/>
      <c r="D925" s="1"/>
      <c r="E925" s="22"/>
      <c r="F925" s="22"/>
      <c r="G925"/>
      <c r="H925" s="22"/>
      <c r="I925" s="22"/>
      <c r="J925" s="23"/>
    </row>
    <row r="926" spans="1:10" s="61" customFormat="1" ht="18.899999999999999" customHeight="1" x14ac:dyDescent="0.35">
      <c r="A926" s="25"/>
      <c r="B926" s="1"/>
      <c r="C926" s="22"/>
      <c r="D926" s="1"/>
      <c r="E926" s="22"/>
      <c r="F926" s="22"/>
      <c r="G926"/>
      <c r="H926" s="22"/>
      <c r="I926" s="22"/>
      <c r="J926" s="23"/>
    </row>
    <row r="927" spans="1:10" s="61" customFormat="1" ht="18.899999999999999" customHeight="1" x14ac:dyDescent="0.35">
      <c r="A927" s="25"/>
      <c r="B927" s="1"/>
      <c r="C927" s="22"/>
      <c r="D927" s="1"/>
      <c r="E927" s="22"/>
      <c r="F927" s="22"/>
      <c r="G927"/>
      <c r="H927" s="22"/>
      <c r="I927" s="22"/>
      <c r="J927" s="23"/>
    </row>
    <row r="928" spans="1:10" s="61" customFormat="1" ht="18.899999999999999" customHeight="1" x14ac:dyDescent="0.35">
      <c r="A928" s="25"/>
      <c r="B928" s="1"/>
      <c r="C928" s="22"/>
      <c r="D928" s="1"/>
      <c r="E928" s="22"/>
      <c r="F928" s="22"/>
      <c r="G928"/>
      <c r="H928" s="22"/>
      <c r="I928" s="22"/>
      <c r="J928" s="23"/>
    </row>
    <row r="929" spans="1:13" s="61" customFormat="1" ht="18.899999999999999" customHeight="1" x14ac:dyDescent="0.35">
      <c r="A929" s="25"/>
      <c r="B929" s="1"/>
      <c r="C929" s="22"/>
      <c r="D929" s="1"/>
      <c r="E929" s="22"/>
      <c r="F929" s="22"/>
      <c r="G929"/>
      <c r="H929" s="22"/>
      <c r="I929" s="22"/>
      <c r="J929" s="23"/>
    </row>
    <row r="930" spans="1:13" s="61" customFormat="1" ht="18.899999999999999" customHeight="1" x14ac:dyDescent="0.35">
      <c r="A930" s="25"/>
      <c r="B930" s="1"/>
      <c r="C930" s="22"/>
      <c r="D930" s="1"/>
      <c r="E930" s="22"/>
      <c r="F930" s="22"/>
      <c r="G930"/>
      <c r="H930" s="22"/>
      <c r="I930" s="22"/>
      <c r="J930" s="23"/>
    </row>
    <row r="931" spans="1:13" s="61" customFormat="1" ht="18.899999999999999" customHeight="1" x14ac:dyDescent="0.35">
      <c r="A931" s="25"/>
      <c r="B931" s="1"/>
      <c r="C931" s="22"/>
      <c r="D931" s="1"/>
      <c r="E931" s="22"/>
      <c r="F931" s="22"/>
      <c r="G931"/>
      <c r="H931" s="22"/>
      <c r="I931" s="22"/>
      <c r="J931" s="23"/>
    </row>
    <row r="932" spans="1:13" s="61" customFormat="1" ht="18.899999999999999" customHeight="1" x14ac:dyDescent="0.35">
      <c r="A932" s="25"/>
      <c r="B932" s="1"/>
      <c r="C932" s="22"/>
      <c r="D932" s="1"/>
      <c r="E932" s="22"/>
      <c r="F932" s="22"/>
      <c r="G932"/>
      <c r="H932" s="22"/>
      <c r="I932" s="22"/>
      <c r="J932" s="23"/>
    </row>
    <row r="933" spans="1:13" s="61" customFormat="1" ht="18.899999999999999" customHeight="1" x14ac:dyDescent="0.35">
      <c r="A933" s="25"/>
      <c r="B933" s="1"/>
      <c r="C933" s="22"/>
      <c r="D933" s="1"/>
      <c r="E933" s="22"/>
      <c r="F933" s="22"/>
      <c r="G933"/>
      <c r="H933" s="22"/>
      <c r="I933" s="22"/>
      <c r="J933" s="23"/>
    </row>
    <row r="934" spans="1:13" s="61" customFormat="1" ht="18.899999999999999" customHeight="1" x14ac:dyDescent="0.35">
      <c r="A934" s="25"/>
      <c r="B934" s="1"/>
      <c r="C934" s="22"/>
      <c r="D934" s="1"/>
      <c r="E934" s="22"/>
      <c r="F934" s="22"/>
      <c r="G934"/>
      <c r="H934" s="22"/>
      <c r="I934" s="22"/>
      <c r="J934" s="23"/>
    </row>
    <row r="935" spans="1:13" ht="18.899999999999999" customHeight="1" x14ac:dyDescent="0.35">
      <c r="M935" s="22"/>
    </row>
    <row r="936" spans="1:13" ht="18.899999999999999" customHeight="1" x14ac:dyDescent="0.35">
      <c r="M936" s="22"/>
    </row>
    <row r="937" spans="1:13" ht="18.899999999999999" customHeight="1" x14ac:dyDescent="0.35">
      <c r="M937" s="22"/>
    </row>
    <row r="938" spans="1:13" ht="18.899999999999999" customHeight="1" x14ac:dyDescent="0.35">
      <c r="M938" s="22"/>
    </row>
    <row r="939" spans="1:13" ht="18.899999999999999" customHeight="1" x14ac:dyDescent="0.35">
      <c r="M939" s="22"/>
    </row>
    <row r="940" spans="1:13" ht="18.899999999999999" customHeight="1" x14ac:dyDescent="0.35">
      <c r="M940" s="22"/>
    </row>
    <row r="941" spans="1:13" ht="18.899999999999999" customHeight="1" x14ac:dyDescent="0.35">
      <c r="M941" s="22"/>
    </row>
    <row r="942" spans="1:13" ht="18.899999999999999" customHeight="1" x14ac:dyDescent="0.35">
      <c r="M942" s="22"/>
    </row>
    <row r="943" spans="1:13" ht="18.899999999999999" customHeight="1" x14ac:dyDescent="0.35">
      <c r="M943" s="22"/>
    </row>
    <row r="944" spans="1:13" ht="18.899999999999999" customHeight="1" x14ac:dyDescent="0.35">
      <c r="M944" s="22"/>
    </row>
    <row r="945" spans="13:13" ht="18.899999999999999" customHeight="1" x14ac:dyDescent="0.35">
      <c r="M945" s="22"/>
    </row>
    <row r="946" spans="13:13" ht="18.899999999999999" customHeight="1" x14ac:dyDescent="0.35">
      <c r="M946" s="22"/>
    </row>
    <row r="947" spans="13:13" ht="18.899999999999999" customHeight="1" x14ac:dyDescent="0.35">
      <c r="M947" s="22"/>
    </row>
    <row r="948" spans="13:13" ht="18.899999999999999" customHeight="1" x14ac:dyDescent="0.35">
      <c r="M948" s="22"/>
    </row>
    <row r="949" spans="13:13" ht="18.899999999999999" customHeight="1" x14ac:dyDescent="0.35">
      <c r="M949" s="22"/>
    </row>
    <row r="950" spans="13:13" ht="18.899999999999999" customHeight="1" x14ac:dyDescent="0.35">
      <c r="M950" s="22"/>
    </row>
    <row r="951" spans="13:13" ht="18.899999999999999" customHeight="1" x14ac:dyDescent="0.35">
      <c r="M951" s="22"/>
    </row>
    <row r="952" spans="13:13" ht="18.899999999999999" customHeight="1" x14ac:dyDescent="0.35">
      <c r="M952" s="22"/>
    </row>
    <row r="953" spans="13:13" ht="18.899999999999999" customHeight="1" x14ac:dyDescent="0.35">
      <c r="M953" s="22"/>
    </row>
    <row r="954" spans="13:13" ht="18.899999999999999" customHeight="1" x14ac:dyDescent="0.35">
      <c r="M954" s="22"/>
    </row>
    <row r="955" spans="13:13" ht="18.899999999999999" customHeight="1" x14ac:dyDescent="0.35">
      <c r="M955" s="22"/>
    </row>
    <row r="956" spans="13:13" ht="18.899999999999999" customHeight="1" x14ac:dyDescent="0.35">
      <c r="M956" s="22"/>
    </row>
    <row r="957" spans="13:13" ht="18.899999999999999" customHeight="1" x14ac:dyDescent="0.35">
      <c r="M957" s="22"/>
    </row>
    <row r="958" spans="13:13" ht="18.899999999999999" customHeight="1" x14ac:dyDescent="0.35">
      <c r="M958" s="22"/>
    </row>
    <row r="959" spans="13:13" ht="18.899999999999999" customHeight="1" x14ac:dyDescent="0.35">
      <c r="M959" s="22"/>
    </row>
    <row r="960" spans="13:13" ht="18.899999999999999" customHeight="1" x14ac:dyDescent="0.35">
      <c r="M960" s="22"/>
    </row>
    <row r="961" spans="13:13" ht="18.899999999999999" customHeight="1" x14ac:dyDescent="0.35">
      <c r="M961" s="22"/>
    </row>
    <row r="962" spans="13:13" ht="18.899999999999999" customHeight="1" x14ac:dyDescent="0.35">
      <c r="M962" s="22"/>
    </row>
    <row r="963" spans="13:13" ht="18.899999999999999" customHeight="1" x14ac:dyDescent="0.35">
      <c r="M963" s="22"/>
    </row>
    <row r="964" spans="13:13" ht="18.899999999999999" customHeight="1" x14ac:dyDescent="0.35">
      <c r="M964" s="22"/>
    </row>
    <row r="965" spans="13:13" ht="18.899999999999999" customHeight="1" x14ac:dyDescent="0.35">
      <c r="M965" s="22"/>
    </row>
    <row r="966" spans="13:13" ht="18.899999999999999" customHeight="1" x14ac:dyDescent="0.35">
      <c r="M966" s="22"/>
    </row>
    <row r="967" spans="13:13" ht="18.899999999999999" customHeight="1" x14ac:dyDescent="0.35">
      <c r="M967" s="22"/>
    </row>
    <row r="968" spans="13:13" ht="18.899999999999999" customHeight="1" x14ac:dyDescent="0.35">
      <c r="M968" s="22"/>
    </row>
    <row r="969" spans="13:13" ht="18.899999999999999" customHeight="1" x14ac:dyDescent="0.35">
      <c r="M969" s="22"/>
    </row>
    <row r="970" spans="13:13" ht="18.899999999999999" customHeight="1" x14ac:dyDescent="0.35">
      <c r="M970" s="22"/>
    </row>
    <row r="971" spans="13:13" ht="18.899999999999999" customHeight="1" x14ac:dyDescent="0.35">
      <c r="M971" s="22"/>
    </row>
    <row r="972" spans="13:13" ht="18.899999999999999" customHeight="1" x14ac:dyDescent="0.35">
      <c r="M972" s="22"/>
    </row>
    <row r="973" spans="13:13" ht="18.899999999999999" customHeight="1" x14ac:dyDescent="0.35">
      <c r="M973" s="22"/>
    </row>
    <row r="974" spans="13:13" ht="18.899999999999999" customHeight="1" x14ac:dyDescent="0.35">
      <c r="M974" s="22"/>
    </row>
    <row r="975" spans="13:13" ht="18.899999999999999" customHeight="1" x14ac:dyDescent="0.35">
      <c r="M975" s="22"/>
    </row>
    <row r="976" spans="13:13" ht="18.899999999999999" customHeight="1" x14ac:dyDescent="0.35">
      <c r="M976" s="22"/>
    </row>
    <row r="977" spans="13:13" ht="18.899999999999999" customHeight="1" x14ac:dyDescent="0.35">
      <c r="M977" s="22"/>
    </row>
    <row r="978" spans="13:13" ht="18.899999999999999" customHeight="1" x14ac:dyDescent="0.35">
      <c r="M978" s="22"/>
    </row>
    <row r="979" spans="13:13" ht="18.899999999999999" customHeight="1" x14ac:dyDescent="0.35">
      <c r="M979" s="22"/>
    </row>
    <row r="980" spans="13:13" ht="18.899999999999999" customHeight="1" x14ac:dyDescent="0.35">
      <c r="M980" s="22"/>
    </row>
    <row r="981" spans="13:13" ht="18.899999999999999" customHeight="1" x14ac:dyDescent="0.35">
      <c r="M981" s="22"/>
    </row>
    <row r="982" spans="13:13" ht="18.899999999999999" customHeight="1" x14ac:dyDescent="0.35">
      <c r="M982" s="22"/>
    </row>
    <row r="983" spans="13:13" ht="18.899999999999999" customHeight="1" x14ac:dyDescent="0.35">
      <c r="M983" s="22"/>
    </row>
    <row r="984" spans="13:13" ht="18.899999999999999" customHeight="1" x14ac:dyDescent="0.35">
      <c r="M984" s="22"/>
    </row>
    <row r="985" spans="13:13" ht="18.899999999999999" customHeight="1" x14ac:dyDescent="0.35">
      <c r="M985" s="22"/>
    </row>
    <row r="986" spans="13:13" ht="18.899999999999999" customHeight="1" x14ac:dyDescent="0.35">
      <c r="M986" s="22"/>
    </row>
    <row r="987" spans="13:13" ht="18.899999999999999" customHeight="1" x14ac:dyDescent="0.35">
      <c r="M987" s="22"/>
    </row>
    <row r="988" spans="13:13" ht="18.899999999999999" customHeight="1" x14ac:dyDescent="0.35">
      <c r="M988" s="22"/>
    </row>
    <row r="989" spans="13:13" ht="18.899999999999999" customHeight="1" x14ac:dyDescent="0.35">
      <c r="M989" s="22"/>
    </row>
    <row r="990" spans="13:13" ht="18.899999999999999" customHeight="1" x14ac:dyDescent="0.35">
      <c r="M990" s="22"/>
    </row>
    <row r="991" spans="13:13" ht="18.899999999999999" customHeight="1" x14ac:dyDescent="0.35">
      <c r="M991" s="22"/>
    </row>
    <row r="992" spans="13:13" ht="18.899999999999999" customHeight="1" x14ac:dyDescent="0.35">
      <c r="M992" s="22"/>
    </row>
    <row r="993" spans="13:13" ht="18.899999999999999" customHeight="1" x14ac:dyDescent="0.35">
      <c r="M993" s="22"/>
    </row>
    <row r="994" spans="13:13" ht="18.899999999999999" customHeight="1" x14ac:dyDescent="0.35">
      <c r="M994" s="22"/>
    </row>
    <row r="995" spans="13:13" ht="18.899999999999999" customHeight="1" x14ac:dyDescent="0.35">
      <c r="M995" s="22"/>
    </row>
    <row r="996" spans="13:13" ht="18.899999999999999" customHeight="1" x14ac:dyDescent="0.35">
      <c r="M996" s="22"/>
    </row>
    <row r="997" spans="13:13" ht="18.899999999999999" customHeight="1" x14ac:dyDescent="0.35">
      <c r="M997" s="22"/>
    </row>
    <row r="998" spans="13:13" ht="18.899999999999999" customHeight="1" x14ac:dyDescent="0.35">
      <c r="M998" s="22"/>
    </row>
    <row r="999" spans="13:13" ht="18.899999999999999" customHeight="1" x14ac:dyDescent="0.35">
      <c r="M999" s="22"/>
    </row>
    <row r="1000" spans="13:13" ht="18.899999999999999" customHeight="1" x14ac:dyDescent="0.35">
      <c r="M1000" s="22"/>
    </row>
    <row r="1001" spans="13:13" ht="18.899999999999999" customHeight="1" x14ac:dyDescent="0.35">
      <c r="M1001" s="22"/>
    </row>
    <row r="1002" spans="13:13" ht="18.899999999999999" customHeight="1" x14ac:dyDescent="0.35">
      <c r="M1002" s="22"/>
    </row>
    <row r="1003" spans="13:13" ht="18.899999999999999" customHeight="1" x14ac:dyDescent="0.35">
      <c r="M1003" s="22"/>
    </row>
    <row r="1004" spans="13:13" ht="18.899999999999999" customHeight="1" x14ac:dyDescent="0.35">
      <c r="M1004" s="22"/>
    </row>
    <row r="1005" spans="13:13" ht="18.899999999999999" customHeight="1" x14ac:dyDescent="0.35">
      <c r="M1005" s="22"/>
    </row>
    <row r="1006" spans="13:13" ht="18.899999999999999" customHeight="1" x14ac:dyDescent="0.35">
      <c r="M1006" s="22"/>
    </row>
    <row r="1007" spans="13:13" ht="18.899999999999999" customHeight="1" x14ac:dyDescent="0.35">
      <c r="M1007" s="22"/>
    </row>
    <row r="1008" spans="13:13" ht="18.899999999999999" customHeight="1" x14ac:dyDescent="0.35">
      <c r="M1008" s="22"/>
    </row>
    <row r="1009" spans="13:13" ht="18.899999999999999" customHeight="1" x14ac:dyDescent="0.35">
      <c r="M1009" s="22"/>
    </row>
    <row r="1010" spans="13:13" ht="18.899999999999999" customHeight="1" x14ac:dyDescent="0.35">
      <c r="M1010" s="22"/>
    </row>
    <row r="1011" spans="13:13" ht="18.899999999999999" customHeight="1" x14ac:dyDescent="0.35">
      <c r="M1011" s="22"/>
    </row>
    <row r="1012" spans="13:13" ht="18.899999999999999" customHeight="1" x14ac:dyDescent="0.35">
      <c r="M1012" s="22"/>
    </row>
    <row r="1013" spans="13:13" ht="18.899999999999999" customHeight="1" x14ac:dyDescent="0.35">
      <c r="M1013" s="22"/>
    </row>
    <row r="1014" spans="13:13" ht="18.899999999999999" customHeight="1" x14ac:dyDescent="0.35">
      <c r="M1014" s="22"/>
    </row>
    <row r="1015" spans="13:13" ht="18.899999999999999" customHeight="1" x14ac:dyDescent="0.35">
      <c r="M1015" s="22"/>
    </row>
    <row r="1016" spans="13:13" ht="18.899999999999999" customHeight="1" x14ac:dyDescent="0.35">
      <c r="M1016" s="22"/>
    </row>
    <row r="1017" spans="13:13" ht="18.899999999999999" customHeight="1" x14ac:dyDescent="0.35">
      <c r="M1017" s="22"/>
    </row>
    <row r="1018" spans="13:13" ht="18.899999999999999" customHeight="1" x14ac:dyDescent="0.35">
      <c r="M1018" s="22"/>
    </row>
    <row r="1019" spans="13:13" ht="18.899999999999999" customHeight="1" x14ac:dyDescent="0.35">
      <c r="M1019" s="22"/>
    </row>
    <row r="1020" spans="13:13" ht="18.899999999999999" customHeight="1" x14ac:dyDescent="0.35">
      <c r="M1020" s="22"/>
    </row>
    <row r="1021" spans="13:13" ht="18.899999999999999" customHeight="1" x14ac:dyDescent="0.35">
      <c r="M1021" s="22"/>
    </row>
    <row r="1022" spans="13:13" ht="18.899999999999999" customHeight="1" x14ac:dyDescent="0.35">
      <c r="M1022" s="22"/>
    </row>
    <row r="1023" spans="13:13" ht="18.899999999999999" customHeight="1" x14ac:dyDescent="0.35">
      <c r="M1023" s="22"/>
    </row>
    <row r="1024" spans="13:13" ht="18.899999999999999" customHeight="1" x14ac:dyDescent="0.35">
      <c r="M1024" s="22"/>
    </row>
    <row r="1025" spans="13:13" ht="18.899999999999999" customHeight="1" x14ac:dyDescent="0.35">
      <c r="M1025" s="22"/>
    </row>
    <row r="1026" spans="13:13" ht="18.899999999999999" customHeight="1" x14ac:dyDescent="0.35">
      <c r="M1026" s="22"/>
    </row>
    <row r="1027" spans="13:13" ht="18.899999999999999" customHeight="1" x14ac:dyDescent="0.35">
      <c r="M1027" s="22"/>
    </row>
    <row r="1028" spans="13:13" ht="18.899999999999999" customHeight="1" x14ac:dyDescent="0.35">
      <c r="M1028" s="22"/>
    </row>
    <row r="1029" spans="13:13" ht="18.899999999999999" customHeight="1" x14ac:dyDescent="0.35">
      <c r="M1029" s="22"/>
    </row>
    <row r="1030" spans="13:13" ht="18.899999999999999" customHeight="1" x14ac:dyDescent="0.35">
      <c r="M1030" s="22"/>
    </row>
    <row r="1031" spans="13:13" ht="18.899999999999999" customHeight="1" x14ac:dyDescent="0.35">
      <c r="M1031" s="22"/>
    </row>
    <row r="1032" spans="13:13" ht="18.899999999999999" customHeight="1" x14ac:dyDescent="0.35">
      <c r="M1032" s="22"/>
    </row>
    <row r="1033" spans="13:13" ht="18.899999999999999" customHeight="1" x14ac:dyDescent="0.35">
      <c r="M1033" s="22"/>
    </row>
    <row r="1034" spans="13:13" ht="18.899999999999999" customHeight="1" x14ac:dyDescent="0.35">
      <c r="M1034" s="22"/>
    </row>
    <row r="1035" spans="13:13" ht="18.899999999999999" customHeight="1" x14ac:dyDescent="0.35">
      <c r="M1035" s="22"/>
    </row>
    <row r="1036" spans="13:13" ht="18.899999999999999" customHeight="1" x14ac:dyDescent="0.35">
      <c r="M1036" s="22"/>
    </row>
    <row r="1037" spans="13:13" ht="18.899999999999999" customHeight="1" x14ac:dyDescent="0.35">
      <c r="M1037" s="22"/>
    </row>
    <row r="1038" spans="13:13" ht="18.899999999999999" customHeight="1" x14ac:dyDescent="0.35">
      <c r="M1038" s="22"/>
    </row>
    <row r="1039" spans="13:13" ht="18.899999999999999" customHeight="1" x14ac:dyDescent="0.35">
      <c r="M1039" s="22"/>
    </row>
    <row r="1040" spans="13:13" ht="18.899999999999999" customHeight="1" x14ac:dyDescent="0.35">
      <c r="M1040" s="22"/>
    </row>
    <row r="1041" spans="13:13" ht="18.899999999999999" customHeight="1" x14ac:dyDescent="0.35">
      <c r="M1041" s="22"/>
    </row>
    <row r="1042" spans="13:13" ht="18.899999999999999" customHeight="1" x14ac:dyDescent="0.35">
      <c r="M1042" s="22"/>
    </row>
    <row r="1043" spans="13:13" ht="18.899999999999999" customHeight="1" x14ac:dyDescent="0.35">
      <c r="M1043" s="22"/>
    </row>
    <row r="1044" spans="13:13" ht="18.899999999999999" customHeight="1" x14ac:dyDescent="0.35">
      <c r="M1044" s="22"/>
    </row>
    <row r="1045" spans="13:13" ht="18.899999999999999" customHeight="1" x14ac:dyDescent="0.35">
      <c r="M1045" s="22"/>
    </row>
    <row r="1046" spans="13:13" ht="18.899999999999999" customHeight="1" x14ac:dyDescent="0.35">
      <c r="M1046" s="22"/>
    </row>
    <row r="1047" spans="13:13" ht="18.899999999999999" customHeight="1" x14ac:dyDescent="0.35">
      <c r="M1047" s="22"/>
    </row>
    <row r="1048" spans="13:13" ht="18.899999999999999" customHeight="1" x14ac:dyDescent="0.35">
      <c r="M1048" s="22"/>
    </row>
    <row r="1049" spans="13:13" ht="18.899999999999999" customHeight="1" x14ac:dyDescent="0.35">
      <c r="M1049" s="22"/>
    </row>
    <row r="1050" spans="13:13" ht="18.899999999999999" customHeight="1" x14ac:dyDescent="0.35">
      <c r="M1050" s="22"/>
    </row>
    <row r="1051" spans="13:13" ht="18.899999999999999" customHeight="1" x14ac:dyDescent="0.35">
      <c r="M1051" s="22"/>
    </row>
    <row r="1052" spans="13:13" ht="18.899999999999999" customHeight="1" x14ac:dyDescent="0.35">
      <c r="M1052" s="22"/>
    </row>
    <row r="1053" spans="13:13" ht="18.899999999999999" customHeight="1" x14ac:dyDescent="0.35">
      <c r="M1053" s="22"/>
    </row>
    <row r="1054" spans="13:13" ht="18.899999999999999" customHeight="1" x14ac:dyDescent="0.35">
      <c r="M1054" s="22"/>
    </row>
    <row r="1055" spans="13:13" ht="18.899999999999999" customHeight="1" x14ac:dyDescent="0.35">
      <c r="M1055" s="22"/>
    </row>
    <row r="1056" spans="13:13" ht="18.899999999999999" customHeight="1" x14ac:dyDescent="0.35">
      <c r="M1056" s="22"/>
    </row>
    <row r="1057" spans="13:13" ht="18.899999999999999" customHeight="1" x14ac:dyDescent="0.35">
      <c r="M1057" s="22"/>
    </row>
    <row r="1058" spans="13:13" ht="18.899999999999999" customHeight="1" x14ac:dyDescent="0.35">
      <c r="M1058" s="22"/>
    </row>
    <row r="1059" spans="13:13" ht="18.899999999999999" customHeight="1" x14ac:dyDescent="0.35">
      <c r="M1059" s="22"/>
    </row>
    <row r="1060" spans="13:13" ht="18.899999999999999" customHeight="1" x14ac:dyDescent="0.35">
      <c r="M1060" s="22"/>
    </row>
    <row r="1061" spans="13:13" ht="18.899999999999999" customHeight="1" x14ac:dyDescent="0.35">
      <c r="M1061" s="22"/>
    </row>
    <row r="1062" spans="13:13" ht="18.899999999999999" customHeight="1" x14ac:dyDescent="0.35">
      <c r="M1062" s="22"/>
    </row>
    <row r="1063" spans="13:13" ht="18.899999999999999" customHeight="1" x14ac:dyDescent="0.35">
      <c r="M1063" s="22"/>
    </row>
    <row r="1064" spans="13:13" ht="18.899999999999999" customHeight="1" x14ac:dyDescent="0.35">
      <c r="M1064" s="22"/>
    </row>
    <row r="1065" spans="13:13" ht="18.899999999999999" customHeight="1" x14ac:dyDescent="0.35">
      <c r="M1065" s="22"/>
    </row>
    <row r="1066" spans="13:13" ht="18.899999999999999" customHeight="1" x14ac:dyDescent="0.35">
      <c r="M1066" s="22"/>
    </row>
    <row r="1067" spans="13:13" ht="18.899999999999999" customHeight="1" x14ac:dyDescent="0.35">
      <c r="M1067" s="22"/>
    </row>
    <row r="1068" spans="13:13" ht="18.899999999999999" customHeight="1" x14ac:dyDescent="0.35">
      <c r="M1068" s="22"/>
    </row>
    <row r="1069" spans="13:13" ht="18.899999999999999" customHeight="1" x14ac:dyDescent="0.35">
      <c r="M1069" s="22"/>
    </row>
    <row r="1070" spans="13:13" ht="18.899999999999999" customHeight="1" x14ac:dyDescent="0.35">
      <c r="M1070" s="22"/>
    </row>
    <row r="1071" spans="13:13" ht="18.899999999999999" customHeight="1" x14ac:dyDescent="0.35">
      <c r="M1071" s="22"/>
    </row>
    <row r="1072" spans="13:13" ht="18.899999999999999" customHeight="1" x14ac:dyDescent="0.35">
      <c r="M1072" s="22"/>
    </row>
    <row r="1073" spans="13:13" ht="18.899999999999999" customHeight="1" x14ac:dyDescent="0.35">
      <c r="M1073" s="22"/>
    </row>
    <row r="1074" spans="13:13" ht="18.899999999999999" customHeight="1" x14ac:dyDescent="0.35">
      <c r="M1074" s="22"/>
    </row>
    <row r="1075" spans="13:13" ht="18.899999999999999" customHeight="1" x14ac:dyDescent="0.35">
      <c r="M1075" s="22"/>
    </row>
    <row r="1076" spans="13:13" ht="18.899999999999999" customHeight="1" x14ac:dyDescent="0.35">
      <c r="M1076" s="22"/>
    </row>
    <row r="1077" spans="13:13" ht="18.899999999999999" customHeight="1" x14ac:dyDescent="0.35">
      <c r="M1077" s="22"/>
    </row>
    <row r="1078" spans="13:13" ht="18.899999999999999" customHeight="1" x14ac:dyDescent="0.35">
      <c r="M1078" s="22"/>
    </row>
    <row r="1079" spans="13:13" ht="18.899999999999999" customHeight="1" x14ac:dyDescent="0.35">
      <c r="M1079" s="22"/>
    </row>
    <row r="1080" spans="13:13" ht="18.899999999999999" customHeight="1" x14ac:dyDescent="0.35">
      <c r="M1080" s="22"/>
    </row>
    <row r="1081" spans="13:13" ht="18.899999999999999" customHeight="1" x14ac:dyDescent="0.35">
      <c r="M1081" s="22"/>
    </row>
    <row r="1082" spans="13:13" ht="18.899999999999999" customHeight="1" x14ac:dyDescent="0.35">
      <c r="M1082" s="22"/>
    </row>
    <row r="1083" spans="13:13" ht="18.899999999999999" customHeight="1" x14ac:dyDescent="0.35">
      <c r="M1083" s="22"/>
    </row>
    <row r="1084" spans="13:13" ht="18.899999999999999" customHeight="1" x14ac:dyDescent="0.35">
      <c r="M1084" s="22"/>
    </row>
    <row r="1085" spans="13:13" ht="18.899999999999999" customHeight="1" x14ac:dyDescent="0.35">
      <c r="M1085" s="22"/>
    </row>
    <row r="1086" spans="13:13" ht="18.899999999999999" customHeight="1" x14ac:dyDescent="0.35">
      <c r="M1086" s="22"/>
    </row>
    <row r="1087" spans="13:13" ht="18.899999999999999" customHeight="1" x14ac:dyDescent="0.35">
      <c r="M1087" s="22"/>
    </row>
    <row r="1088" spans="13:13" ht="18.899999999999999" customHeight="1" x14ac:dyDescent="0.35">
      <c r="M1088" s="22"/>
    </row>
    <row r="1089" spans="13:13" ht="18.899999999999999" customHeight="1" x14ac:dyDescent="0.35">
      <c r="M1089" s="22"/>
    </row>
    <row r="1090" spans="13:13" ht="18.899999999999999" customHeight="1" x14ac:dyDescent="0.35">
      <c r="M1090" s="22"/>
    </row>
    <row r="1091" spans="13:13" ht="18.899999999999999" customHeight="1" x14ac:dyDescent="0.35">
      <c r="M1091" s="22"/>
    </row>
    <row r="1092" spans="13:13" ht="18.899999999999999" customHeight="1" x14ac:dyDescent="0.35">
      <c r="M1092" s="22"/>
    </row>
    <row r="1093" spans="13:13" ht="18.899999999999999" customHeight="1" x14ac:dyDescent="0.35">
      <c r="M1093" s="22"/>
    </row>
    <row r="1094" spans="13:13" ht="18.899999999999999" customHeight="1" x14ac:dyDescent="0.35">
      <c r="M1094" s="22"/>
    </row>
    <row r="1095" spans="13:13" ht="18.899999999999999" customHeight="1" x14ac:dyDescent="0.35">
      <c r="M1095" s="22"/>
    </row>
    <row r="1096" spans="13:13" ht="18.899999999999999" customHeight="1" x14ac:dyDescent="0.35">
      <c r="M1096" s="22"/>
    </row>
    <row r="1097" spans="13:13" ht="18.899999999999999" customHeight="1" x14ac:dyDescent="0.35">
      <c r="M1097" s="22"/>
    </row>
    <row r="1098" spans="13:13" ht="18.899999999999999" customHeight="1" x14ac:dyDescent="0.35">
      <c r="M1098" s="22"/>
    </row>
    <row r="1099" spans="13:13" ht="18.899999999999999" customHeight="1" x14ac:dyDescent="0.35">
      <c r="M1099" s="22"/>
    </row>
    <row r="1100" spans="13:13" ht="18.899999999999999" customHeight="1" x14ac:dyDescent="0.35">
      <c r="M1100" s="22"/>
    </row>
    <row r="1101" spans="13:13" ht="18.899999999999999" customHeight="1" x14ac:dyDescent="0.35">
      <c r="M1101" s="22"/>
    </row>
    <row r="1102" spans="13:13" ht="18.899999999999999" customHeight="1" x14ac:dyDescent="0.35">
      <c r="M1102" s="22"/>
    </row>
    <row r="1103" spans="13:13" ht="18.899999999999999" customHeight="1" x14ac:dyDescent="0.35">
      <c r="M1103" s="22"/>
    </row>
    <row r="1104" spans="13:13" ht="18.899999999999999" customHeight="1" x14ac:dyDescent="0.35">
      <c r="M1104" s="22"/>
    </row>
    <row r="1105" spans="13:13" ht="18.899999999999999" customHeight="1" x14ac:dyDescent="0.35">
      <c r="M1105" s="22"/>
    </row>
    <row r="1106" spans="13:13" ht="18.899999999999999" customHeight="1" x14ac:dyDescent="0.35">
      <c r="M1106" s="22"/>
    </row>
    <row r="1107" spans="13:13" ht="18.899999999999999" customHeight="1" x14ac:dyDescent="0.35">
      <c r="M1107" s="22"/>
    </row>
    <row r="1108" spans="13:13" ht="18.899999999999999" customHeight="1" x14ac:dyDescent="0.35">
      <c r="M1108" s="22"/>
    </row>
    <row r="1109" spans="13:13" ht="18.899999999999999" customHeight="1" x14ac:dyDescent="0.35">
      <c r="M1109" s="22"/>
    </row>
    <row r="1110" spans="13:13" ht="18.899999999999999" customHeight="1" x14ac:dyDescent="0.35">
      <c r="M1110" s="22"/>
    </row>
    <row r="1111" spans="13:13" ht="18.899999999999999" customHeight="1" x14ac:dyDescent="0.35">
      <c r="M1111" s="22"/>
    </row>
    <row r="1112" spans="13:13" ht="18.899999999999999" customHeight="1" x14ac:dyDescent="0.35">
      <c r="M1112" s="22"/>
    </row>
    <row r="1113" spans="13:13" ht="18.899999999999999" customHeight="1" x14ac:dyDescent="0.35">
      <c r="M1113" s="22"/>
    </row>
    <row r="1114" spans="13:13" ht="18.899999999999999" customHeight="1" x14ac:dyDescent="0.35">
      <c r="M1114" s="22"/>
    </row>
    <row r="1115" spans="13:13" ht="18.899999999999999" customHeight="1" x14ac:dyDescent="0.35">
      <c r="M1115" s="22"/>
    </row>
    <row r="1116" spans="13:13" ht="18.899999999999999" customHeight="1" x14ac:dyDescent="0.35">
      <c r="M1116" s="22"/>
    </row>
    <row r="1117" spans="13:13" ht="18.899999999999999" customHeight="1" x14ac:dyDescent="0.35">
      <c r="M1117" s="22"/>
    </row>
    <row r="1118" spans="13:13" ht="18.899999999999999" customHeight="1" x14ac:dyDescent="0.35">
      <c r="M1118" s="22"/>
    </row>
    <row r="1119" spans="13:13" ht="18.899999999999999" customHeight="1" x14ac:dyDescent="0.35">
      <c r="M1119" s="22"/>
    </row>
    <row r="1120" spans="13:13" ht="18.899999999999999" customHeight="1" x14ac:dyDescent="0.35">
      <c r="M1120" s="22"/>
    </row>
    <row r="1121" spans="13:13" ht="18.899999999999999" customHeight="1" x14ac:dyDescent="0.35">
      <c r="M1121" s="22"/>
    </row>
    <row r="1122" spans="13:13" ht="18.899999999999999" customHeight="1" x14ac:dyDescent="0.35">
      <c r="M1122" s="22"/>
    </row>
    <row r="1123" spans="13:13" ht="18.899999999999999" customHeight="1" x14ac:dyDescent="0.35">
      <c r="M1123" s="22"/>
    </row>
    <row r="1124" spans="13:13" ht="18.899999999999999" customHeight="1" x14ac:dyDescent="0.35">
      <c r="M1124" s="22"/>
    </row>
    <row r="1125" spans="13:13" ht="18.899999999999999" customHeight="1" x14ac:dyDescent="0.35">
      <c r="M1125" s="22"/>
    </row>
    <row r="1126" spans="13:13" ht="18.899999999999999" customHeight="1" x14ac:dyDescent="0.35">
      <c r="M1126" s="22"/>
    </row>
    <row r="1127" spans="13:13" ht="18.899999999999999" customHeight="1" x14ac:dyDescent="0.35">
      <c r="M1127" s="22"/>
    </row>
    <row r="1128" spans="13:13" ht="18.899999999999999" customHeight="1" x14ac:dyDescent="0.35">
      <c r="M1128" s="22"/>
    </row>
    <row r="1129" spans="13:13" ht="18.899999999999999" customHeight="1" x14ac:dyDescent="0.35">
      <c r="M1129" s="22"/>
    </row>
    <row r="1130" spans="13:13" ht="18.899999999999999" customHeight="1" x14ac:dyDescent="0.35">
      <c r="M1130" s="22"/>
    </row>
    <row r="1131" spans="13:13" ht="18.899999999999999" customHeight="1" x14ac:dyDescent="0.35">
      <c r="M1131" s="22"/>
    </row>
    <row r="1132" spans="13:13" ht="18.899999999999999" customHeight="1" x14ac:dyDescent="0.35">
      <c r="M1132" s="22"/>
    </row>
    <row r="1133" spans="13:13" ht="18.899999999999999" customHeight="1" x14ac:dyDescent="0.35">
      <c r="M1133" s="22"/>
    </row>
    <row r="1134" spans="13:13" ht="18.899999999999999" customHeight="1" x14ac:dyDescent="0.35">
      <c r="M1134" s="22"/>
    </row>
    <row r="1135" spans="13:13" ht="18.899999999999999" customHeight="1" x14ac:dyDescent="0.35">
      <c r="M1135" s="22"/>
    </row>
    <row r="1136" spans="13:13" ht="18.899999999999999" customHeight="1" x14ac:dyDescent="0.35">
      <c r="M1136" s="22"/>
    </row>
    <row r="1137" spans="13:13" ht="18.899999999999999" customHeight="1" x14ac:dyDescent="0.35">
      <c r="M1137" s="22"/>
    </row>
    <row r="1138" spans="13:13" ht="18.899999999999999" customHeight="1" x14ac:dyDescent="0.35">
      <c r="M1138" s="22"/>
    </row>
    <row r="1139" spans="13:13" ht="18.899999999999999" customHeight="1" x14ac:dyDescent="0.35">
      <c r="M1139" s="22"/>
    </row>
    <row r="1140" spans="13:13" ht="18.899999999999999" customHeight="1" x14ac:dyDescent="0.35">
      <c r="M1140" s="22"/>
    </row>
    <row r="1141" spans="13:13" ht="18.899999999999999" customHeight="1" x14ac:dyDescent="0.35">
      <c r="M1141" s="22"/>
    </row>
    <row r="1142" spans="13:13" ht="18.899999999999999" customHeight="1" x14ac:dyDescent="0.35">
      <c r="M1142" s="22"/>
    </row>
    <row r="1143" spans="13:13" ht="18.899999999999999" customHeight="1" x14ac:dyDescent="0.35">
      <c r="M1143" s="22"/>
    </row>
    <row r="1144" spans="13:13" ht="18.899999999999999" customHeight="1" x14ac:dyDescent="0.35">
      <c r="M1144" s="22"/>
    </row>
    <row r="1145" spans="13:13" ht="18.899999999999999" customHeight="1" x14ac:dyDescent="0.35">
      <c r="M1145" s="22"/>
    </row>
    <row r="1146" spans="13:13" ht="18.899999999999999" customHeight="1" x14ac:dyDescent="0.35">
      <c r="M1146" s="22"/>
    </row>
    <row r="1147" spans="13:13" ht="18.899999999999999" customHeight="1" x14ac:dyDescent="0.35">
      <c r="M1147" s="22"/>
    </row>
    <row r="1148" spans="13:13" ht="18.899999999999999" customHeight="1" x14ac:dyDescent="0.35">
      <c r="M1148" s="22"/>
    </row>
    <row r="1149" spans="13:13" ht="18.899999999999999" customHeight="1" x14ac:dyDescent="0.35">
      <c r="M1149" s="22"/>
    </row>
    <row r="1150" spans="13:13" ht="18.899999999999999" customHeight="1" x14ac:dyDescent="0.35">
      <c r="M1150" s="22"/>
    </row>
    <row r="1151" spans="13:13" ht="18.899999999999999" customHeight="1" x14ac:dyDescent="0.35">
      <c r="M1151" s="22"/>
    </row>
    <row r="1152" spans="13:13" ht="18.899999999999999" customHeight="1" x14ac:dyDescent="0.35">
      <c r="M1152" s="22"/>
    </row>
    <row r="1153" spans="13:13" ht="18.899999999999999" customHeight="1" x14ac:dyDescent="0.35">
      <c r="M1153" s="22"/>
    </row>
    <row r="1154" spans="13:13" ht="18.899999999999999" customHeight="1" x14ac:dyDescent="0.35">
      <c r="M1154" s="22"/>
    </row>
    <row r="1155" spans="13:13" ht="18.899999999999999" customHeight="1" x14ac:dyDescent="0.35">
      <c r="M1155" s="22"/>
    </row>
    <row r="1156" spans="13:13" ht="18.899999999999999" customHeight="1" x14ac:dyDescent="0.35">
      <c r="M1156" s="22"/>
    </row>
    <row r="1157" spans="13:13" ht="18.899999999999999" customHeight="1" x14ac:dyDescent="0.35">
      <c r="M1157" s="22"/>
    </row>
    <row r="1158" spans="13:13" ht="18.899999999999999" customHeight="1" x14ac:dyDescent="0.35">
      <c r="M1158" s="22"/>
    </row>
    <row r="1159" spans="13:13" ht="18.899999999999999" customHeight="1" x14ac:dyDescent="0.35">
      <c r="M1159" s="22"/>
    </row>
    <row r="1160" spans="13:13" ht="18.899999999999999" customHeight="1" x14ac:dyDescent="0.35">
      <c r="M1160" s="22"/>
    </row>
    <row r="1161" spans="13:13" ht="18.899999999999999" customHeight="1" x14ac:dyDescent="0.35">
      <c r="M1161" s="22"/>
    </row>
    <row r="1162" spans="13:13" ht="18.899999999999999" customHeight="1" x14ac:dyDescent="0.35">
      <c r="M1162" s="22"/>
    </row>
    <row r="1163" spans="13:13" ht="18.899999999999999" customHeight="1" x14ac:dyDescent="0.35">
      <c r="M1163" s="22"/>
    </row>
    <row r="1164" spans="13:13" ht="18.899999999999999" customHeight="1" x14ac:dyDescent="0.35">
      <c r="M1164" s="22"/>
    </row>
    <row r="1165" spans="13:13" ht="18.899999999999999" customHeight="1" x14ac:dyDescent="0.35">
      <c r="M1165" s="22"/>
    </row>
    <row r="1166" spans="13:13" ht="18.899999999999999" customHeight="1" x14ac:dyDescent="0.35">
      <c r="M1166" s="22"/>
    </row>
    <row r="1167" spans="13:13" ht="18.899999999999999" customHeight="1" x14ac:dyDescent="0.35">
      <c r="M1167" s="22"/>
    </row>
    <row r="1168" spans="13:13" ht="18.899999999999999" customHeight="1" x14ac:dyDescent="0.35">
      <c r="M1168" s="22"/>
    </row>
    <row r="1169" spans="13:13" ht="18.899999999999999" customHeight="1" x14ac:dyDescent="0.35">
      <c r="M1169" s="22"/>
    </row>
    <row r="1170" spans="13:13" ht="18.899999999999999" customHeight="1" x14ac:dyDescent="0.35">
      <c r="M1170" s="22"/>
    </row>
    <row r="1171" spans="13:13" ht="18.899999999999999" customHeight="1" x14ac:dyDescent="0.35">
      <c r="M1171" s="22"/>
    </row>
    <row r="1172" spans="13:13" ht="18.899999999999999" customHeight="1" x14ac:dyDescent="0.35">
      <c r="M1172" s="22"/>
    </row>
    <row r="1173" spans="13:13" ht="18.899999999999999" customHeight="1" x14ac:dyDescent="0.35">
      <c r="M1173" s="22"/>
    </row>
    <row r="1174" spans="13:13" ht="18.899999999999999" customHeight="1" x14ac:dyDescent="0.35">
      <c r="M1174" s="22"/>
    </row>
    <row r="1175" spans="13:13" ht="18.899999999999999" customHeight="1" x14ac:dyDescent="0.35">
      <c r="M1175" s="22"/>
    </row>
    <row r="1176" spans="13:13" ht="18.899999999999999" customHeight="1" x14ac:dyDescent="0.35">
      <c r="M1176" s="22"/>
    </row>
    <row r="1177" spans="13:13" ht="18.899999999999999" customHeight="1" x14ac:dyDescent="0.35">
      <c r="M1177" s="22"/>
    </row>
    <row r="1178" spans="13:13" ht="18.899999999999999" customHeight="1" x14ac:dyDescent="0.35">
      <c r="M1178" s="22"/>
    </row>
    <row r="1179" spans="13:13" ht="18.899999999999999" customHeight="1" x14ac:dyDescent="0.35">
      <c r="M1179" s="22"/>
    </row>
    <row r="1180" spans="13:13" ht="18.899999999999999" customHeight="1" x14ac:dyDescent="0.35">
      <c r="M1180" s="22"/>
    </row>
    <row r="1181" spans="13:13" ht="18.899999999999999" customHeight="1" x14ac:dyDescent="0.35">
      <c r="M1181" s="22"/>
    </row>
    <row r="1182" spans="13:13" ht="18.899999999999999" customHeight="1" x14ac:dyDescent="0.35">
      <c r="M1182" s="22"/>
    </row>
    <row r="1183" spans="13:13" ht="18.899999999999999" customHeight="1" x14ac:dyDescent="0.35">
      <c r="M1183" s="22"/>
    </row>
    <row r="1184" spans="13:13" ht="18.899999999999999" customHeight="1" x14ac:dyDescent="0.35">
      <c r="M1184" s="22"/>
    </row>
    <row r="1185" spans="13:13" ht="18.899999999999999" customHeight="1" x14ac:dyDescent="0.35">
      <c r="M1185" s="22"/>
    </row>
    <row r="1186" spans="13:13" ht="18.899999999999999" customHeight="1" x14ac:dyDescent="0.35">
      <c r="M1186" s="22"/>
    </row>
    <row r="1187" spans="13:13" ht="18.899999999999999" customHeight="1" x14ac:dyDescent="0.35">
      <c r="M1187" s="22"/>
    </row>
    <row r="1188" spans="13:13" ht="18.899999999999999" customHeight="1" x14ac:dyDescent="0.35">
      <c r="M1188" s="22"/>
    </row>
    <row r="1189" spans="13:13" ht="18.899999999999999" customHeight="1" x14ac:dyDescent="0.35">
      <c r="M1189" s="22"/>
    </row>
    <row r="1190" spans="13:13" ht="18.899999999999999" customHeight="1" x14ac:dyDescent="0.35">
      <c r="M1190" s="22"/>
    </row>
    <row r="1191" spans="13:13" ht="18.899999999999999" customHeight="1" x14ac:dyDescent="0.35">
      <c r="M1191" s="22"/>
    </row>
    <row r="1192" spans="13:13" ht="18.899999999999999" customHeight="1" x14ac:dyDescent="0.35">
      <c r="M1192" s="22"/>
    </row>
    <row r="1193" spans="13:13" ht="18.899999999999999" customHeight="1" x14ac:dyDescent="0.35">
      <c r="M1193" s="22"/>
    </row>
    <row r="1194" spans="13:13" ht="18.899999999999999" customHeight="1" x14ac:dyDescent="0.35">
      <c r="M1194" s="22"/>
    </row>
    <row r="1195" spans="13:13" ht="18.899999999999999" customHeight="1" x14ac:dyDescent="0.35">
      <c r="M1195" s="22"/>
    </row>
    <row r="1196" spans="13:13" ht="18.899999999999999" customHeight="1" x14ac:dyDescent="0.35">
      <c r="M1196" s="22"/>
    </row>
    <row r="1197" spans="13:13" ht="18.899999999999999" customHeight="1" x14ac:dyDescent="0.35">
      <c r="M1197" s="22"/>
    </row>
    <row r="1198" spans="13:13" ht="18.899999999999999" customHeight="1" x14ac:dyDescent="0.35">
      <c r="M1198" s="22"/>
    </row>
    <row r="1199" spans="13:13" ht="18.899999999999999" customHeight="1" x14ac:dyDescent="0.35">
      <c r="M1199" s="22"/>
    </row>
    <row r="1200" spans="13:13" ht="18.899999999999999" customHeight="1" x14ac:dyDescent="0.35">
      <c r="M1200" s="22"/>
    </row>
    <row r="1201" spans="13:13" ht="18.899999999999999" customHeight="1" x14ac:dyDescent="0.35">
      <c r="M1201" s="22"/>
    </row>
    <row r="1202" spans="13:13" ht="18.899999999999999" customHeight="1" x14ac:dyDescent="0.35">
      <c r="M1202" s="22"/>
    </row>
    <row r="1203" spans="13:13" ht="18.899999999999999" customHeight="1" x14ac:dyDescent="0.35">
      <c r="M1203" s="22"/>
    </row>
    <row r="1204" spans="13:13" ht="18.899999999999999" customHeight="1" x14ac:dyDescent="0.35">
      <c r="M1204" s="22"/>
    </row>
    <row r="1205" spans="13:13" ht="18.899999999999999" customHeight="1" x14ac:dyDescent="0.35">
      <c r="M1205" s="22"/>
    </row>
    <row r="1206" spans="13:13" ht="18.899999999999999" customHeight="1" x14ac:dyDescent="0.35">
      <c r="M1206" s="22"/>
    </row>
    <row r="1207" spans="13:13" ht="18.899999999999999" customHeight="1" x14ac:dyDescent="0.35">
      <c r="M1207" s="22"/>
    </row>
    <row r="1208" spans="13:13" ht="18.899999999999999" customHeight="1" x14ac:dyDescent="0.35">
      <c r="M1208" s="22"/>
    </row>
    <row r="1209" spans="13:13" ht="18.899999999999999" customHeight="1" x14ac:dyDescent="0.35">
      <c r="M1209" s="22"/>
    </row>
    <row r="1210" spans="13:13" ht="18.899999999999999" customHeight="1" x14ac:dyDescent="0.35">
      <c r="M1210" s="22"/>
    </row>
    <row r="1211" spans="13:13" ht="18.899999999999999" customHeight="1" x14ac:dyDescent="0.35">
      <c r="M1211" s="22"/>
    </row>
    <row r="1212" spans="13:13" ht="18.899999999999999" customHeight="1" x14ac:dyDescent="0.35">
      <c r="M1212" s="22"/>
    </row>
    <row r="1213" spans="13:13" ht="18.899999999999999" customHeight="1" x14ac:dyDescent="0.35">
      <c r="M1213" s="22"/>
    </row>
    <row r="1214" spans="13:13" ht="18.899999999999999" customHeight="1" x14ac:dyDescent="0.35">
      <c r="M1214" s="22"/>
    </row>
    <row r="1215" spans="13:13" ht="18.899999999999999" customHeight="1" x14ac:dyDescent="0.35">
      <c r="M1215" s="22"/>
    </row>
    <row r="1216" spans="13:13" ht="18.899999999999999" customHeight="1" x14ac:dyDescent="0.35">
      <c r="M1216" s="22"/>
    </row>
    <row r="1217" spans="13:13" ht="18.899999999999999" customHeight="1" x14ac:dyDescent="0.35">
      <c r="M1217" s="22"/>
    </row>
    <row r="1218" spans="13:13" ht="18.899999999999999" customHeight="1" x14ac:dyDescent="0.35">
      <c r="M1218" s="22"/>
    </row>
    <row r="1219" spans="13:13" ht="18.899999999999999" customHeight="1" x14ac:dyDescent="0.35">
      <c r="M1219" s="22"/>
    </row>
    <row r="1220" spans="13:13" ht="18.899999999999999" customHeight="1" x14ac:dyDescent="0.35">
      <c r="M1220" s="22"/>
    </row>
    <row r="1221" spans="13:13" ht="18.899999999999999" customHeight="1" x14ac:dyDescent="0.35">
      <c r="M1221" s="22"/>
    </row>
    <row r="1222" spans="13:13" ht="18.899999999999999" customHeight="1" x14ac:dyDescent="0.35">
      <c r="M1222" s="22"/>
    </row>
    <row r="1223" spans="13:13" ht="18.899999999999999" customHeight="1" x14ac:dyDescent="0.35">
      <c r="M1223" s="22"/>
    </row>
    <row r="1224" spans="13:13" ht="18.899999999999999" customHeight="1" x14ac:dyDescent="0.35">
      <c r="M1224" s="22"/>
    </row>
    <row r="1225" spans="13:13" ht="18.899999999999999" customHeight="1" x14ac:dyDescent="0.35">
      <c r="M1225" s="22"/>
    </row>
    <row r="1226" spans="13:13" ht="18.899999999999999" customHeight="1" x14ac:dyDescent="0.35">
      <c r="M1226" s="22"/>
    </row>
    <row r="1227" spans="13:13" ht="18.899999999999999" customHeight="1" x14ac:dyDescent="0.35">
      <c r="M1227" s="22"/>
    </row>
    <row r="1228" spans="13:13" ht="18.899999999999999" customHeight="1" x14ac:dyDescent="0.35">
      <c r="M1228" s="22"/>
    </row>
    <row r="1229" spans="13:13" ht="18.899999999999999" customHeight="1" x14ac:dyDescent="0.35">
      <c r="M1229" s="22"/>
    </row>
    <row r="1230" spans="13:13" ht="18.899999999999999" customHeight="1" x14ac:dyDescent="0.35">
      <c r="M1230" s="22"/>
    </row>
    <row r="1231" spans="13:13" ht="18.899999999999999" customHeight="1" x14ac:dyDescent="0.35">
      <c r="M1231" s="22"/>
    </row>
    <row r="1232" spans="13:13" ht="18.899999999999999" customHeight="1" x14ac:dyDescent="0.35">
      <c r="M1232" s="22"/>
    </row>
    <row r="1233" spans="13:13" ht="18.899999999999999" customHeight="1" x14ac:dyDescent="0.35">
      <c r="M1233" s="22"/>
    </row>
    <row r="1234" spans="13:13" ht="18.899999999999999" customHeight="1" x14ac:dyDescent="0.35">
      <c r="M1234" s="22"/>
    </row>
    <row r="1235" spans="13:13" ht="18.899999999999999" customHeight="1" x14ac:dyDescent="0.35">
      <c r="M1235" s="22"/>
    </row>
    <row r="1236" spans="13:13" ht="18.899999999999999" customHeight="1" x14ac:dyDescent="0.35">
      <c r="M1236" s="22"/>
    </row>
    <row r="1237" spans="13:13" ht="18.899999999999999" customHeight="1" x14ac:dyDescent="0.35">
      <c r="M1237" s="22"/>
    </row>
    <row r="1238" spans="13:13" ht="18.899999999999999" customHeight="1" x14ac:dyDescent="0.35">
      <c r="M1238" s="22"/>
    </row>
    <row r="1239" spans="13:13" ht="18.899999999999999" customHeight="1" x14ac:dyDescent="0.35">
      <c r="M1239" s="22"/>
    </row>
    <row r="1240" spans="13:13" ht="18.899999999999999" customHeight="1" x14ac:dyDescent="0.35">
      <c r="M1240" s="22"/>
    </row>
    <row r="1241" spans="13:13" ht="18.899999999999999" customHeight="1" x14ac:dyDescent="0.35">
      <c r="M1241" s="22"/>
    </row>
    <row r="1242" spans="13:13" ht="18.899999999999999" customHeight="1" x14ac:dyDescent="0.35">
      <c r="M1242" s="22"/>
    </row>
    <row r="1243" spans="13:13" ht="18.899999999999999" customHeight="1" x14ac:dyDescent="0.35">
      <c r="M1243" s="22"/>
    </row>
    <row r="1244" spans="13:13" ht="18.899999999999999" customHeight="1" x14ac:dyDescent="0.35">
      <c r="M1244" s="22"/>
    </row>
    <row r="1245" spans="13:13" ht="18.899999999999999" customHeight="1" x14ac:dyDescent="0.35">
      <c r="M1245" s="22"/>
    </row>
    <row r="1246" spans="13:13" ht="18.899999999999999" customHeight="1" x14ac:dyDescent="0.35">
      <c r="M1246" s="22"/>
    </row>
    <row r="1247" spans="13:13" ht="18.899999999999999" customHeight="1" x14ac:dyDescent="0.35">
      <c r="M1247" s="22"/>
    </row>
    <row r="1248" spans="13:13" ht="18.899999999999999" customHeight="1" x14ac:dyDescent="0.35">
      <c r="M1248" s="22"/>
    </row>
    <row r="1249" spans="13:13" ht="18.899999999999999" customHeight="1" x14ac:dyDescent="0.35">
      <c r="M1249" s="22"/>
    </row>
    <row r="1250" spans="13:13" ht="18.899999999999999" customHeight="1" x14ac:dyDescent="0.35">
      <c r="M1250" s="22"/>
    </row>
    <row r="1251" spans="13:13" ht="18.899999999999999" customHeight="1" x14ac:dyDescent="0.35">
      <c r="M1251" s="22"/>
    </row>
    <row r="1252" spans="13:13" ht="18.899999999999999" customHeight="1" x14ac:dyDescent="0.35">
      <c r="M1252" s="22"/>
    </row>
    <row r="1253" spans="13:13" ht="18.899999999999999" customHeight="1" x14ac:dyDescent="0.35">
      <c r="M1253" s="22"/>
    </row>
    <row r="1254" spans="13:13" ht="18.899999999999999" customHeight="1" x14ac:dyDescent="0.35">
      <c r="M1254" s="22"/>
    </row>
    <row r="1255" spans="13:13" ht="18.899999999999999" customHeight="1" x14ac:dyDescent="0.35">
      <c r="M1255" s="22"/>
    </row>
    <row r="1256" spans="13:13" ht="18.899999999999999" customHeight="1" x14ac:dyDescent="0.35">
      <c r="M1256" s="22"/>
    </row>
    <row r="1257" spans="13:13" ht="18.899999999999999" customHeight="1" x14ac:dyDescent="0.35">
      <c r="M1257" s="22"/>
    </row>
    <row r="1258" spans="13:13" ht="18.899999999999999" customHeight="1" x14ac:dyDescent="0.35">
      <c r="M1258" s="22"/>
    </row>
    <row r="1259" spans="13:13" ht="18.899999999999999" customHeight="1" x14ac:dyDescent="0.35">
      <c r="M1259" s="22"/>
    </row>
    <row r="1260" spans="13:13" ht="18.899999999999999" customHeight="1" x14ac:dyDescent="0.35">
      <c r="M1260" s="22"/>
    </row>
    <row r="1261" spans="13:13" ht="18.899999999999999" customHeight="1" x14ac:dyDescent="0.35">
      <c r="M1261" s="22"/>
    </row>
    <row r="1262" spans="13:13" ht="18.899999999999999" customHeight="1" x14ac:dyDescent="0.35">
      <c r="M1262" s="22"/>
    </row>
    <row r="1263" spans="13:13" ht="18.899999999999999" customHeight="1" x14ac:dyDescent="0.35">
      <c r="M1263" s="22"/>
    </row>
    <row r="1264" spans="13:13" ht="18.899999999999999" customHeight="1" x14ac:dyDescent="0.35">
      <c r="M1264" s="22"/>
    </row>
    <row r="1265" spans="13:13" ht="18.899999999999999" customHeight="1" x14ac:dyDescent="0.35">
      <c r="M1265" s="22"/>
    </row>
    <row r="1266" spans="13:13" ht="18.899999999999999" customHeight="1" x14ac:dyDescent="0.35">
      <c r="M1266" s="22"/>
    </row>
    <row r="1267" spans="13:13" ht="18.899999999999999" customHeight="1" x14ac:dyDescent="0.35">
      <c r="M1267" s="22"/>
    </row>
    <row r="1268" spans="13:13" ht="18.899999999999999" customHeight="1" x14ac:dyDescent="0.35">
      <c r="M1268" s="22"/>
    </row>
    <row r="1269" spans="13:13" ht="18.899999999999999" customHeight="1" x14ac:dyDescent="0.35">
      <c r="M1269" s="22"/>
    </row>
    <row r="1270" spans="13:13" ht="18.899999999999999" customHeight="1" x14ac:dyDescent="0.35">
      <c r="M1270" s="22"/>
    </row>
    <row r="1271" spans="13:13" ht="18.899999999999999" customHeight="1" x14ac:dyDescent="0.35">
      <c r="M1271" s="22"/>
    </row>
    <row r="1272" spans="13:13" ht="18.899999999999999" customHeight="1" x14ac:dyDescent="0.35">
      <c r="M1272" s="22"/>
    </row>
    <row r="1273" spans="13:13" ht="18.899999999999999" customHeight="1" x14ac:dyDescent="0.35">
      <c r="M1273" s="22"/>
    </row>
    <row r="1274" spans="13:13" ht="18.899999999999999" customHeight="1" x14ac:dyDescent="0.35">
      <c r="M1274" s="22"/>
    </row>
    <row r="1275" spans="13:13" ht="18.899999999999999" customHeight="1" x14ac:dyDescent="0.35">
      <c r="M1275" s="22"/>
    </row>
    <row r="1276" spans="13:13" ht="18.899999999999999" customHeight="1" x14ac:dyDescent="0.35">
      <c r="M1276" s="22"/>
    </row>
    <row r="1277" spans="13:13" ht="18.899999999999999" customHeight="1" x14ac:dyDescent="0.35">
      <c r="M1277" s="22"/>
    </row>
    <row r="1278" spans="13:13" ht="18.899999999999999" customHeight="1" x14ac:dyDescent="0.35">
      <c r="M1278" s="22"/>
    </row>
    <row r="1279" spans="13:13" ht="18.899999999999999" customHeight="1" x14ac:dyDescent="0.35">
      <c r="M1279" s="22"/>
    </row>
    <row r="1280" spans="13:13" ht="18.899999999999999" customHeight="1" x14ac:dyDescent="0.35">
      <c r="M1280" s="22"/>
    </row>
    <row r="1281" spans="13:13" ht="18.899999999999999" customHeight="1" x14ac:dyDescent="0.35">
      <c r="M1281" s="22"/>
    </row>
    <row r="1282" spans="13:13" ht="18.899999999999999" customHeight="1" x14ac:dyDescent="0.35">
      <c r="M1282" s="22"/>
    </row>
    <row r="1283" spans="13:13" ht="18.899999999999999" customHeight="1" x14ac:dyDescent="0.35">
      <c r="M1283" s="22"/>
    </row>
    <row r="1284" spans="13:13" ht="18.899999999999999" customHeight="1" x14ac:dyDescent="0.35">
      <c r="M1284" s="22"/>
    </row>
    <row r="1285" spans="13:13" ht="18.899999999999999" customHeight="1" x14ac:dyDescent="0.35">
      <c r="M1285" s="22"/>
    </row>
    <row r="1286" spans="13:13" ht="18.899999999999999" customHeight="1" x14ac:dyDescent="0.35">
      <c r="M1286" s="22"/>
    </row>
    <row r="1287" spans="13:13" ht="18.899999999999999" customHeight="1" x14ac:dyDescent="0.35">
      <c r="M1287" s="22"/>
    </row>
    <row r="1288" spans="13:13" ht="18.899999999999999" customHeight="1" x14ac:dyDescent="0.35">
      <c r="M1288" s="22"/>
    </row>
    <row r="1289" spans="13:13" ht="18.899999999999999" customHeight="1" x14ac:dyDescent="0.35">
      <c r="M1289" s="22"/>
    </row>
    <row r="1290" spans="13:13" ht="18.899999999999999" customHeight="1" x14ac:dyDescent="0.35">
      <c r="M1290" s="22"/>
    </row>
    <row r="1291" spans="13:13" ht="18.899999999999999" customHeight="1" x14ac:dyDescent="0.35">
      <c r="M1291" s="22"/>
    </row>
    <row r="1292" spans="13:13" ht="18.899999999999999" customHeight="1" x14ac:dyDescent="0.35">
      <c r="M1292" s="22"/>
    </row>
    <row r="1293" spans="13:13" ht="18.899999999999999" customHeight="1" x14ac:dyDescent="0.35">
      <c r="M1293" s="22"/>
    </row>
    <row r="1294" spans="13:13" ht="18.899999999999999" customHeight="1" x14ac:dyDescent="0.35">
      <c r="M1294" s="22"/>
    </row>
    <row r="1295" spans="13:13" ht="18.899999999999999" customHeight="1" x14ac:dyDescent="0.35">
      <c r="M1295" s="22"/>
    </row>
    <row r="1296" spans="13:13" ht="18.899999999999999" customHeight="1" x14ac:dyDescent="0.35">
      <c r="M1296" s="22"/>
    </row>
    <row r="1297" spans="13:13" ht="18.899999999999999" customHeight="1" x14ac:dyDescent="0.35">
      <c r="M1297" s="22"/>
    </row>
    <row r="1298" spans="13:13" ht="18.899999999999999" customHeight="1" x14ac:dyDescent="0.35">
      <c r="M1298" s="22"/>
    </row>
    <row r="1299" spans="13:13" ht="18.899999999999999" customHeight="1" x14ac:dyDescent="0.35">
      <c r="M1299" s="22"/>
    </row>
    <row r="1300" spans="13:13" ht="18.899999999999999" customHeight="1" x14ac:dyDescent="0.35">
      <c r="M1300" s="22"/>
    </row>
    <row r="1301" spans="13:13" ht="18.899999999999999" customHeight="1" x14ac:dyDescent="0.35">
      <c r="M1301" s="22"/>
    </row>
    <row r="1302" spans="13:13" ht="18.899999999999999" customHeight="1" x14ac:dyDescent="0.35">
      <c r="M1302" s="22"/>
    </row>
    <row r="1303" spans="13:13" ht="18.899999999999999" customHeight="1" x14ac:dyDescent="0.35">
      <c r="M1303" s="22"/>
    </row>
    <row r="1304" spans="13:13" ht="18.899999999999999" customHeight="1" x14ac:dyDescent="0.35">
      <c r="M1304" s="22"/>
    </row>
    <row r="1305" spans="13:13" ht="18.899999999999999" customHeight="1" x14ac:dyDescent="0.35">
      <c r="M1305" s="22"/>
    </row>
    <row r="1306" spans="13:13" ht="18.899999999999999" customHeight="1" x14ac:dyDescent="0.35">
      <c r="M1306" s="22"/>
    </row>
    <row r="1307" spans="13:13" ht="18.899999999999999" customHeight="1" x14ac:dyDescent="0.35">
      <c r="M1307" s="22"/>
    </row>
    <row r="1308" spans="13:13" ht="18.899999999999999" customHeight="1" x14ac:dyDescent="0.35">
      <c r="M1308" s="22"/>
    </row>
    <row r="1309" spans="13:13" ht="18.899999999999999" customHeight="1" x14ac:dyDescent="0.35">
      <c r="M1309" s="22"/>
    </row>
    <row r="1310" spans="13:13" ht="18.899999999999999" customHeight="1" x14ac:dyDescent="0.35">
      <c r="M1310" s="22"/>
    </row>
    <row r="1311" spans="13:13" ht="18.899999999999999" customHeight="1" x14ac:dyDescent="0.35">
      <c r="M1311" s="22"/>
    </row>
    <row r="1312" spans="13:13" ht="18.899999999999999" customHeight="1" x14ac:dyDescent="0.35">
      <c r="M1312" s="22"/>
    </row>
    <row r="1313" spans="13:13" ht="18.899999999999999" customHeight="1" x14ac:dyDescent="0.35">
      <c r="M1313" s="22"/>
    </row>
    <row r="1314" spans="13:13" ht="18.899999999999999" customHeight="1" x14ac:dyDescent="0.35">
      <c r="M1314" s="22"/>
    </row>
    <row r="1315" spans="13:13" ht="18.899999999999999" customHeight="1" x14ac:dyDescent="0.35">
      <c r="M1315" s="22"/>
    </row>
    <row r="1316" spans="13:13" ht="18.899999999999999" customHeight="1" x14ac:dyDescent="0.35">
      <c r="M1316" s="22"/>
    </row>
    <row r="1317" spans="13:13" ht="18.899999999999999" customHeight="1" x14ac:dyDescent="0.35">
      <c r="M1317" s="22"/>
    </row>
    <row r="1318" spans="13:13" ht="18.899999999999999" customHeight="1" x14ac:dyDescent="0.35">
      <c r="M1318" s="22"/>
    </row>
    <row r="1319" spans="13:13" ht="18.899999999999999" customHeight="1" x14ac:dyDescent="0.35">
      <c r="M1319" s="22"/>
    </row>
    <row r="1320" spans="13:13" ht="18.899999999999999" customHeight="1" x14ac:dyDescent="0.35">
      <c r="M1320" s="22"/>
    </row>
    <row r="1321" spans="13:13" ht="18.899999999999999" customHeight="1" x14ac:dyDescent="0.35">
      <c r="M1321" s="22"/>
    </row>
    <row r="1322" spans="13:13" ht="18.899999999999999" customHeight="1" x14ac:dyDescent="0.35">
      <c r="M1322" s="22"/>
    </row>
    <row r="1323" spans="13:13" ht="18.899999999999999" customHeight="1" x14ac:dyDescent="0.35">
      <c r="M1323" s="22"/>
    </row>
    <row r="1324" spans="13:13" ht="18.899999999999999" customHeight="1" x14ac:dyDescent="0.35">
      <c r="M1324" s="22"/>
    </row>
    <row r="1325" spans="13:13" ht="18.899999999999999" customHeight="1" x14ac:dyDescent="0.35">
      <c r="M1325" s="22"/>
    </row>
    <row r="1326" spans="13:13" ht="18.899999999999999" customHeight="1" x14ac:dyDescent="0.35">
      <c r="M1326" s="22"/>
    </row>
    <row r="1327" spans="13:13" ht="18.899999999999999" customHeight="1" x14ac:dyDescent="0.35">
      <c r="M1327" s="22"/>
    </row>
    <row r="1328" spans="13:13" ht="18.899999999999999" customHeight="1" x14ac:dyDescent="0.35">
      <c r="M1328" s="22"/>
    </row>
    <row r="1329" spans="13:13" ht="18.899999999999999" customHeight="1" x14ac:dyDescent="0.35">
      <c r="M1329" s="22"/>
    </row>
    <row r="1330" spans="13:13" ht="18.899999999999999" customHeight="1" x14ac:dyDescent="0.35">
      <c r="M1330" s="22"/>
    </row>
    <row r="1331" spans="13:13" ht="18.899999999999999" customHeight="1" x14ac:dyDescent="0.35">
      <c r="M1331" s="22"/>
    </row>
    <row r="1332" spans="13:13" ht="18.899999999999999" customHeight="1" x14ac:dyDescent="0.35">
      <c r="M1332" s="22"/>
    </row>
    <row r="1333" spans="13:13" ht="18.899999999999999" customHeight="1" x14ac:dyDescent="0.35">
      <c r="M1333" s="22"/>
    </row>
    <row r="1334" spans="13:13" ht="18.899999999999999" customHeight="1" x14ac:dyDescent="0.35">
      <c r="M1334" s="22"/>
    </row>
    <row r="1335" spans="13:13" ht="18.899999999999999" customHeight="1" x14ac:dyDescent="0.35">
      <c r="M1335" s="22"/>
    </row>
    <row r="1336" spans="13:13" ht="18.899999999999999" customHeight="1" x14ac:dyDescent="0.35">
      <c r="M1336" s="22"/>
    </row>
    <row r="1337" spans="13:13" ht="18.899999999999999" customHeight="1" x14ac:dyDescent="0.35">
      <c r="M1337" s="22"/>
    </row>
    <row r="1338" spans="13:13" ht="18.899999999999999" customHeight="1" x14ac:dyDescent="0.35">
      <c r="M1338" s="22"/>
    </row>
    <row r="1339" spans="13:13" ht="18.899999999999999" customHeight="1" x14ac:dyDescent="0.35">
      <c r="M1339" s="22"/>
    </row>
    <row r="1340" spans="13:13" ht="18.899999999999999" customHeight="1" x14ac:dyDescent="0.35">
      <c r="M1340" s="22"/>
    </row>
    <row r="1341" spans="13:13" ht="18.899999999999999" customHeight="1" x14ac:dyDescent="0.35">
      <c r="M1341" s="22"/>
    </row>
    <row r="1342" spans="13:13" ht="18.899999999999999" customHeight="1" x14ac:dyDescent="0.35">
      <c r="M1342" s="22"/>
    </row>
    <row r="1343" spans="13:13" ht="18.899999999999999" customHeight="1" x14ac:dyDescent="0.35">
      <c r="M1343" s="22"/>
    </row>
    <row r="1344" spans="13:13" ht="18.899999999999999" customHeight="1" x14ac:dyDescent="0.35">
      <c r="M1344" s="22"/>
    </row>
    <row r="1345" spans="13:13" ht="18.899999999999999" customHeight="1" x14ac:dyDescent="0.35">
      <c r="M1345" s="22"/>
    </row>
    <row r="1346" spans="13:13" ht="18.899999999999999" customHeight="1" x14ac:dyDescent="0.35">
      <c r="M1346" s="22"/>
    </row>
    <row r="1347" spans="13:13" ht="18.899999999999999" customHeight="1" x14ac:dyDescent="0.35">
      <c r="M1347" s="22"/>
    </row>
    <row r="1348" spans="13:13" ht="18.899999999999999" customHeight="1" x14ac:dyDescent="0.35">
      <c r="M1348" s="22"/>
    </row>
    <row r="1349" spans="13:13" ht="18.899999999999999" customHeight="1" x14ac:dyDescent="0.35">
      <c r="M1349" s="22"/>
    </row>
    <row r="1350" spans="13:13" ht="18.899999999999999" customHeight="1" x14ac:dyDescent="0.35">
      <c r="M1350" s="22"/>
    </row>
    <row r="1351" spans="13:13" ht="18.899999999999999" customHeight="1" x14ac:dyDescent="0.35">
      <c r="M1351" s="22"/>
    </row>
    <row r="1352" spans="13:13" ht="18.899999999999999" customHeight="1" x14ac:dyDescent="0.35">
      <c r="M1352" s="22"/>
    </row>
    <row r="1353" spans="13:13" ht="18.899999999999999" customHeight="1" x14ac:dyDescent="0.35">
      <c r="M1353" s="22"/>
    </row>
    <row r="1354" spans="13:13" ht="18.899999999999999" customHeight="1" x14ac:dyDescent="0.35">
      <c r="M1354" s="22"/>
    </row>
    <row r="1355" spans="13:13" ht="18.899999999999999" customHeight="1" x14ac:dyDescent="0.35">
      <c r="M1355" s="22"/>
    </row>
    <row r="1356" spans="13:13" ht="18.899999999999999" customHeight="1" x14ac:dyDescent="0.35">
      <c r="M1356" s="22"/>
    </row>
    <row r="1357" spans="13:13" ht="18.899999999999999" customHeight="1" x14ac:dyDescent="0.35">
      <c r="M1357" s="22"/>
    </row>
    <row r="1358" spans="13:13" ht="18.899999999999999" customHeight="1" x14ac:dyDescent="0.35">
      <c r="M1358" s="22"/>
    </row>
    <row r="1359" spans="13:13" ht="18.899999999999999" customHeight="1" x14ac:dyDescent="0.35">
      <c r="M1359" s="22"/>
    </row>
    <row r="1360" spans="13:13" ht="18.899999999999999" customHeight="1" x14ac:dyDescent="0.35">
      <c r="M1360" s="22"/>
    </row>
    <row r="1361" spans="13:13" ht="18.899999999999999" customHeight="1" x14ac:dyDescent="0.35">
      <c r="M1361" s="22"/>
    </row>
    <row r="1362" spans="13:13" ht="18.899999999999999" customHeight="1" x14ac:dyDescent="0.35">
      <c r="M1362" s="22"/>
    </row>
    <row r="1363" spans="13:13" ht="18.899999999999999" customHeight="1" x14ac:dyDescent="0.35">
      <c r="M1363" s="22"/>
    </row>
    <row r="1364" spans="13:13" ht="18.899999999999999" customHeight="1" x14ac:dyDescent="0.35">
      <c r="M1364" s="22"/>
    </row>
    <row r="1365" spans="13:13" ht="18.899999999999999" customHeight="1" x14ac:dyDescent="0.35">
      <c r="M1365" s="22"/>
    </row>
    <row r="1366" spans="13:13" ht="18.899999999999999" customHeight="1" x14ac:dyDescent="0.35">
      <c r="M1366" s="22"/>
    </row>
    <row r="1367" spans="13:13" ht="18.899999999999999" customHeight="1" x14ac:dyDescent="0.35">
      <c r="M1367" s="22"/>
    </row>
    <row r="1368" spans="13:13" ht="18.899999999999999" customHeight="1" x14ac:dyDescent="0.35">
      <c r="M1368" s="22"/>
    </row>
    <row r="1369" spans="13:13" ht="18.899999999999999" customHeight="1" x14ac:dyDescent="0.35">
      <c r="M1369" s="22"/>
    </row>
    <row r="1370" spans="13:13" ht="18.899999999999999" customHeight="1" x14ac:dyDescent="0.35">
      <c r="M1370" s="22"/>
    </row>
    <row r="1371" spans="13:13" ht="18.899999999999999" customHeight="1" x14ac:dyDescent="0.35">
      <c r="M1371" s="22"/>
    </row>
    <row r="1372" spans="13:13" ht="18.899999999999999" customHeight="1" x14ac:dyDescent="0.35">
      <c r="M1372" s="22"/>
    </row>
    <row r="1373" spans="13:13" ht="18.899999999999999" customHeight="1" x14ac:dyDescent="0.35">
      <c r="M1373" s="22"/>
    </row>
    <row r="1374" spans="13:13" ht="18.899999999999999" customHeight="1" x14ac:dyDescent="0.35">
      <c r="M1374" s="22"/>
    </row>
    <row r="1375" spans="13:13" ht="18.899999999999999" customHeight="1" x14ac:dyDescent="0.35">
      <c r="M1375" s="22"/>
    </row>
    <row r="1376" spans="13:13" ht="18.899999999999999" customHeight="1" x14ac:dyDescent="0.35">
      <c r="M1376" s="22"/>
    </row>
    <row r="1377" spans="13:13" ht="18.899999999999999" customHeight="1" x14ac:dyDescent="0.35">
      <c r="M1377" s="22"/>
    </row>
    <row r="1378" spans="13:13" ht="18.899999999999999" customHeight="1" x14ac:dyDescent="0.35">
      <c r="M1378" s="22"/>
    </row>
    <row r="1379" spans="13:13" ht="18.899999999999999" customHeight="1" x14ac:dyDescent="0.35">
      <c r="M1379" s="22"/>
    </row>
    <row r="1380" spans="13:13" ht="18.899999999999999" customHeight="1" x14ac:dyDescent="0.35">
      <c r="M1380" s="22"/>
    </row>
    <row r="1381" spans="13:13" ht="18.899999999999999" customHeight="1" x14ac:dyDescent="0.35">
      <c r="M1381" s="22"/>
    </row>
    <row r="1382" spans="13:13" ht="18.899999999999999" customHeight="1" x14ac:dyDescent="0.35">
      <c r="M1382" s="22"/>
    </row>
    <row r="1383" spans="13:13" ht="18.899999999999999" customHeight="1" x14ac:dyDescent="0.35">
      <c r="M1383" s="22"/>
    </row>
    <row r="1384" spans="13:13" ht="18.899999999999999" customHeight="1" x14ac:dyDescent="0.35">
      <c r="M1384" s="22"/>
    </row>
    <row r="1385" spans="13:13" ht="18.899999999999999" customHeight="1" x14ac:dyDescent="0.35">
      <c r="M1385" s="22"/>
    </row>
    <row r="1386" spans="13:13" ht="18.899999999999999" customHeight="1" x14ac:dyDescent="0.35">
      <c r="M1386" s="22"/>
    </row>
    <row r="1387" spans="13:13" ht="18.899999999999999" customHeight="1" x14ac:dyDescent="0.35">
      <c r="M1387" s="22"/>
    </row>
    <row r="1388" spans="13:13" ht="18.899999999999999" customHeight="1" x14ac:dyDescent="0.35">
      <c r="M1388" s="22"/>
    </row>
    <row r="1389" spans="13:13" ht="18.899999999999999" customHeight="1" x14ac:dyDescent="0.35">
      <c r="M1389" s="22"/>
    </row>
    <row r="1390" spans="13:13" ht="18.899999999999999" customHeight="1" x14ac:dyDescent="0.35">
      <c r="M1390" s="22"/>
    </row>
    <row r="1391" spans="13:13" ht="18.899999999999999" customHeight="1" x14ac:dyDescent="0.35">
      <c r="M1391" s="22"/>
    </row>
    <row r="1392" spans="13:13" ht="18.899999999999999" customHeight="1" x14ac:dyDescent="0.35">
      <c r="M1392" s="22"/>
    </row>
    <row r="1393" spans="13:13" ht="18.899999999999999" customHeight="1" x14ac:dyDescent="0.35">
      <c r="M1393" s="22"/>
    </row>
    <row r="1394" spans="13:13" ht="18.899999999999999" customHeight="1" x14ac:dyDescent="0.35">
      <c r="M1394" s="22"/>
    </row>
    <row r="1395" spans="13:13" ht="18.899999999999999" customHeight="1" x14ac:dyDescent="0.35">
      <c r="M1395" s="22"/>
    </row>
    <row r="1396" spans="13:13" ht="18.899999999999999" customHeight="1" x14ac:dyDescent="0.35">
      <c r="M1396" s="22"/>
    </row>
    <row r="1397" spans="13:13" ht="18.899999999999999" customHeight="1" x14ac:dyDescent="0.35">
      <c r="M1397" s="22"/>
    </row>
    <row r="1398" spans="13:13" ht="18.899999999999999" customHeight="1" x14ac:dyDescent="0.35">
      <c r="M1398" s="22"/>
    </row>
    <row r="1399" spans="13:13" ht="18.899999999999999" customHeight="1" x14ac:dyDescent="0.35">
      <c r="M1399" s="22"/>
    </row>
    <row r="1400" spans="13:13" ht="18.899999999999999" customHeight="1" x14ac:dyDescent="0.35">
      <c r="M1400" s="22"/>
    </row>
    <row r="1401" spans="13:13" ht="18.899999999999999" customHeight="1" x14ac:dyDescent="0.35">
      <c r="M1401" s="22"/>
    </row>
    <row r="1402" spans="13:13" ht="18.899999999999999" customHeight="1" x14ac:dyDescent="0.35">
      <c r="M1402" s="22"/>
    </row>
    <row r="1403" spans="13:13" ht="18.899999999999999" customHeight="1" x14ac:dyDescent="0.35">
      <c r="M1403" s="22"/>
    </row>
    <row r="1404" spans="13:13" ht="18.899999999999999" customHeight="1" x14ac:dyDescent="0.35">
      <c r="M1404" s="22"/>
    </row>
    <row r="1405" spans="13:13" ht="18.899999999999999" customHeight="1" x14ac:dyDescent="0.35">
      <c r="M1405" s="22"/>
    </row>
    <row r="1406" spans="13:13" ht="18.899999999999999" customHeight="1" x14ac:dyDescent="0.35">
      <c r="M1406" s="22"/>
    </row>
    <row r="1407" spans="13:13" ht="18.899999999999999" customHeight="1" x14ac:dyDescent="0.35">
      <c r="M1407" s="22"/>
    </row>
    <row r="1408" spans="13:13" ht="18.899999999999999" customHeight="1" x14ac:dyDescent="0.35">
      <c r="M1408" s="22"/>
    </row>
    <row r="1409" spans="13:13" ht="18.899999999999999" customHeight="1" x14ac:dyDescent="0.35">
      <c r="M1409" s="22"/>
    </row>
    <row r="1410" spans="13:13" ht="18.899999999999999" customHeight="1" x14ac:dyDescent="0.35">
      <c r="M1410" s="22"/>
    </row>
    <row r="1411" spans="13:13" ht="18.899999999999999" customHeight="1" x14ac:dyDescent="0.35">
      <c r="M1411" s="22"/>
    </row>
    <row r="1412" spans="13:13" ht="18.899999999999999" customHeight="1" x14ac:dyDescent="0.35">
      <c r="M1412" s="22"/>
    </row>
    <row r="1413" spans="13:13" ht="18.899999999999999" customHeight="1" x14ac:dyDescent="0.35">
      <c r="M1413" s="22"/>
    </row>
    <row r="1414" spans="13:13" ht="18.899999999999999" customHeight="1" x14ac:dyDescent="0.35">
      <c r="M1414" s="22"/>
    </row>
    <row r="1415" spans="13:13" ht="18.899999999999999" customHeight="1" x14ac:dyDescent="0.35">
      <c r="M1415" s="22"/>
    </row>
    <row r="1416" spans="13:13" ht="18.899999999999999" customHeight="1" x14ac:dyDescent="0.35">
      <c r="M1416" s="22"/>
    </row>
    <row r="1417" spans="13:13" ht="18.899999999999999" customHeight="1" x14ac:dyDescent="0.35">
      <c r="M1417" s="22"/>
    </row>
    <row r="1418" spans="13:13" ht="18.899999999999999" customHeight="1" x14ac:dyDescent="0.35">
      <c r="M1418" s="22"/>
    </row>
    <row r="1419" spans="13:13" ht="18.899999999999999" customHeight="1" x14ac:dyDescent="0.35">
      <c r="M1419" s="22"/>
    </row>
    <row r="1420" spans="13:13" ht="18.899999999999999" customHeight="1" x14ac:dyDescent="0.35">
      <c r="M1420" s="22"/>
    </row>
    <row r="1421" spans="13:13" ht="18.899999999999999" customHeight="1" x14ac:dyDescent="0.35">
      <c r="M1421" s="22"/>
    </row>
    <row r="1422" spans="13:13" ht="18.899999999999999" customHeight="1" x14ac:dyDescent="0.35">
      <c r="M1422" s="22"/>
    </row>
    <row r="1423" spans="13:13" ht="18.899999999999999" customHeight="1" x14ac:dyDescent="0.35">
      <c r="M1423" s="22"/>
    </row>
    <row r="1424" spans="13:13" ht="18.899999999999999" customHeight="1" x14ac:dyDescent="0.35">
      <c r="M1424" s="22"/>
    </row>
    <row r="1425" spans="13:13" ht="18.899999999999999" customHeight="1" x14ac:dyDescent="0.35">
      <c r="M1425" s="22"/>
    </row>
    <row r="1426" spans="13:13" ht="18.899999999999999" customHeight="1" x14ac:dyDescent="0.35">
      <c r="M1426" s="22"/>
    </row>
    <row r="1427" spans="13:13" ht="18.899999999999999" customHeight="1" x14ac:dyDescent="0.35">
      <c r="M1427" s="22"/>
    </row>
    <row r="1428" spans="13:13" ht="18.899999999999999" customHeight="1" x14ac:dyDescent="0.35">
      <c r="M1428" s="22"/>
    </row>
    <row r="1429" spans="13:13" ht="18.899999999999999" customHeight="1" x14ac:dyDescent="0.35">
      <c r="M1429" s="22"/>
    </row>
    <row r="1430" spans="13:13" ht="18.899999999999999" customHeight="1" x14ac:dyDescent="0.35">
      <c r="M1430" s="22"/>
    </row>
    <row r="1431" spans="13:13" ht="18.899999999999999" customHeight="1" x14ac:dyDescent="0.35">
      <c r="M1431" s="22"/>
    </row>
    <row r="1432" spans="13:13" ht="18.899999999999999" customHeight="1" x14ac:dyDescent="0.35">
      <c r="M1432" s="22"/>
    </row>
    <row r="1433" spans="13:13" ht="18.899999999999999" customHeight="1" x14ac:dyDescent="0.35">
      <c r="M1433" s="22"/>
    </row>
    <row r="1434" spans="13:13" ht="18.899999999999999" customHeight="1" x14ac:dyDescent="0.35">
      <c r="M1434" s="22"/>
    </row>
    <row r="1435" spans="13:13" ht="18.899999999999999" customHeight="1" x14ac:dyDescent="0.35">
      <c r="M1435" s="22"/>
    </row>
    <row r="1436" spans="13:13" ht="18.899999999999999" customHeight="1" x14ac:dyDescent="0.35">
      <c r="M1436" s="22"/>
    </row>
    <row r="1437" spans="13:13" ht="18.899999999999999" customHeight="1" x14ac:dyDescent="0.35">
      <c r="M1437" s="22"/>
    </row>
    <row r="1438" spans="13:13" ht="18.899999999999999" customHeight="1" x14ac:dyDescent="0.35">
      <c r="M1438" s="22"/>
    </row>
    <row r="1439" spans="13:13" ht="18.899999999999999" customHeight="1" x14ac:dyDescent="0.35">
      <c r="M1439" s="22"/>
    </row>
    <row r="1440" spans="13:13" ht="18.899999999999999" customHeight="1" x14ac:dyDescent="0.35">
      <c r="M1440" s="22"/>
    </row>
    <row r="1441" spans="13:13" ht="18.899999999999999" customHeight="1" x14ac:dyDescent="0.35">
      <c r="M1441" s="22"/>
    </row>
    <row r="1442" spans="13:13" ht="18.899999999999999" customHeight="1" x14ac:dyDescent="0.35">
      <c r="M1442" s="22"/>
    </row>
    <row r="1443" spans="13:13" ht="18.899999999999999" customHeight="1" x14ac:dyDescent="0.35">
      <c r="M1443" s="22"/>
    </row>
    <row r="1444" spans="13:13" ht="18.899999999999999" customHeight="1" x14ac:dyDescent="0.35">
      <c r="M1444" s="22"/>
    </row>
    <row r="1445" spans="13:13" ht="18.899999999999999" customHeight="1" x14ac:dyDescent="0.35">
      <c r="M1445" s="22"/>
    </row>
    <row r="1446" spans="13:13" ht="18.899999999999999" customHeight="1" x14ac:dyDescent="0.35">
      <c r="M1446" s="22"/>
    </row>
    <row r="1447" spans="13:13" ht="18.899999999999999" customHeight="1" x14ac:dyDescent="0.35">
      <c r="M1447" s="22"/>
    </row>
    <row r="1448" spans="13:13" ht="18.899999999999999" customHeight="1" x14ac:dyDescent="0.35">
      <c r="M1448" s="22"/>
    </row>
    <row r="1449" spans="13:13" ht="18.899999999999999" customHeight="1" x14ac:dyDescent="0.35">
      <c r="M1449" s="22"/>
    </row>
    <row r="1450" spans="13:13" ht="18.899999999999999" customHeight="1" x14ac:dyDescent="0.35">
      <c r="M1450" s="22"/>
    </row>
    <row r="1451" spans="13:13" ht="18.899999999999999" customHeight="1" x14ac:dyDescent="0.35">
      <c r="M1451" s="22"/>
    </row>
    <row r="1452" spans="13:13" ht="18.899999999999999" customHeight="1" x14ac:dyDescent="0.35">
      <c r="M1452" s="22"/>
    </row>
    <row r="1453" spans="13:13" ht="18.899999999999999" customHeight="1" x14ac:dyDescent="0.35">
      <c r="M1453" s="22"/>
    </row>
    <row r="1454" spans="13:13" ht="18.899999999999999" customHeight="1" x14ac:dyDescent="0.35">
      <c r="M1454" s="22"/>
    </row>
    <row r="1455" spans="13:13" ht="18.899999999999999" customHeight="1" x14ac:dyDescent="0.35">
      <c r="M1455" s="22"/>
    </row>
    <row r="1456" spans="13:13" ht="18.899999999999999" customHeight="1" x14ac:dyDescent="0.35">
      <c r="M1456" s="22"/>
    </row>
    <row r="1457" spans="13:13" ht="18.899999999999999" customHeight="1" x14ac:dyDescent="0.35">
      <c r="M1457" s="22"/>
    </row>
    <row r="1458" spans="13:13" ht="18.899999999999999" customHeight="1" x14ac:dyDescent="0.35">
      <c r="M1458" s="22"/>
    </row>
    <row r="1459" spans="13:13" ht="18.899999999999999" customHeight="1" x14ac:dyDescent="0.35">
      <c r="M1459" s="22"/>
    </row>
    <row r="1460" spans="13:13" ht="18.899999999999999" customHeight="1" x14ac:dyDescent="0.35">
      <c r="M1460" s="22"/>
    </row>
    <row r="1461" spans="13:13" ht="18.899999999999999" customHeight="1" x14ac:dyDescent="0.35">
      <c r="M1461" s="22"/>
    </row>
    <row r="1462" spans="13:13" ht="18.899999999999999" customHeight="1" x14ac:dyDescent="0.35">
      <c r="M1462" s="22"/>
    </row>
    <row r="1463" spans="13:13" ht="18.899999999999999" customHeight="1" x14ac:dyDescent="0.35">
      <c r="M1463" s="22"/>
    </row>
    <row r="1464" spans="13:13" ht="18.899999999999999" customHeight="1" x14ac:dyDescent="0.35">
      <c r="M1464" s="22"/>
    </row>
    <row r="1465" spans="13:13" ht="18.899999999999999" customHeight="1" x14ac:dyDescent="0.35">
      <c r="M1465" s="22"/>
    </row>
    <row r="1466" spans="13:13" ht="18.899999999999999" customHeight="1" x14ac:dyDescent="0.35">
      <c r="M1466" s="22"/>
    </row>
    <row r="1467" spans="13:13" ht="18.899999999999999" customHeight="1" x14ac:dyDescent="0.35">
      <c r="M1467" s="22"/>
    </row>
    <row r="1468" spans="13:13" ht="18.899999999999999" customHeight="1" x14ac:dyDescent="0.35">
      <c r="M1468" s="22"/>
    </row>
    <row r="1469" spans="13:13" ht="18.899999999999999" customHeight="1" x14ac:dyDescent="0.35">
      <c r="M1469" s="22"/>
    </row>
    <row r="1470" spans="13:13" ht="18.899999999999999" customHeight="1" x14ac:dyDescent="0.35">
      <c r="M1470" s="22"/>
    </row>
    <row r="1471" spans="13:13" ht="18.899999999999999" customHeight="1" x14ac:dyDescent="0.35">
      <c r="M1471" s="22"/>
    </row>
    <row r="1472" spans="13:13" ht="18.899999999999999" customHeight="1" x14ac:dyDescent="0.35">
      <c r="M1472" s="22"/>
    </row>
    <row r="1473" spans="13:13" ht="18.899999999999999" customHeight="1" x14ac:dyDescent="0.35">
      <c r="M1473" s="22"/>
    </row>
    <row r="1474" spans="13:13" ht="18.899999999999999" customHeight="1" x14ac:dyDescent="0.35">
      <c r="M1474" s="22"/>
    </row>
    <row r="1475" spans="13:13" ht="18.899999999999999" customHeight="1" x14ac:dyDescent="0.35">
      <c r="M1475" s="22"/>
    </row>
    <row r="1476" spans="13:13" ht="18.899999999999999" customHeight="1" x14ac:dyDescent="0.35">
      <c r="M1476" s="22"/>
    </row>
    <row r="1477" spans="13:13" ht="18.899999999999999" customHeight="1" x14ac:dyDescent="0.35">
      <c r="M1477" s="22"/>
    </row>
    <row r="1478" spans="13:13" ht="18.899999999999999" customHeight="1" x14ac:dyDescent="0.35">
      <c r="M1478" s="22"/>
    </row>
    <row r="1479" spans="13:13" ht="18.899999999999999" customHeight="1" x14ac:dyDescent="0.35">
      <c r="M1479" s="22"/>
    </row>
    <row r="1480" spans="13:13" ht="18.899999999999999" customHeight="1" x14ac:dyDescent="0.35">
      <c r="M1480" s="22"/>
    </row>
    <row r="1481" spans="13:13" ht="18.899999999999999" customHeight="1" x14ac:dyDescent="0.35">
      <c r="M1481" s="22"/>
    </row>
    <row r="1482" spans="13:13" ht="18.899999999999999" customHeight="1" x14ac:dyDescent="0.35">
      <c r="M1482" s="22"/>
    </row>
    <row r="1483" spans="13:13" ht="18.899999999999999" customHeight="1" x14ac:dyDescent="0.35">
      <c r="M1483" s="22"/>
    </row>
    <row r="1484" spans="13:13" ht="18.899999999999999" customHeight="1" x14ac:dyDescent="0.35">
      <c r="M1484" s="22"/>
    </row>
    <row r="1485" spans="13:13" ht="18.899999999999999" customHeight="1" x14ac:dyDescent="0.35">
      <c r="M1485" s="22"/>
    </row>
    <row r="1486" spans="13:13" ht="18.899999999999999" customHeight="1" x14ac:dyDescent="0.35">
      <c r="M1486" s="22"/>
    </row>
    <row r="1487" spans="13:13" ht="18.899999999999999" customHeight="1" x14ac:dyDescent="0.35">
      <c r="M1487" s="22"/>
    </row>
    <row r="1488" spans="13:13" ht="18.899999999999999" customHeight="1" x14ac:dyDescent="0.35">
      <c r="M1488" s="22"/>
    </row>
    <row r="1489" spans="13:13" ht="18.899999999999999" customHeight="1" x14ac:dyDescent="0.35">
      <c r="M1489" s="22"/>
    </row>
    <row r="1490" spans="13:13" ht="18.899999999999999" customHeight="1" x14ac:dyDescent="0.35">
      <c r="M1490" s="22"/>
    </row>
    <row r="1491" spans="13:13" ht="18.899999999999999" customHeight="1" x14ac:dyDescent="0.35">
      <c r="M1491" s="22"/>
    </row>
    <row r="1492" spans="13:13" ht="18.899999999999999" customHeight="1" x14ac:dyDescent="0.35">
      <c r="M1492" s="22"/>
    </row>
    <row r="1493" spans="13:13" ht="18.899999999999999" customHeight="1" x14ac:dyDescent="0.35">
      <c r="M1493" s="22"/>
    </row>
    <row r="1494" spans="13:13" ht="18.899999999999999" customHeight="1" x14ac:dyDescent="0.35">
      <c r="M1494" s="22"/>
    </row>
    <row r="1495" spans="13:13" ht="18.899999999999999" customHeight="1" x14ac:dyDescent="0.35">
      <c r="M1495" s="22"/>
    </row>
    <row r="1496" spans="13:13" ht="18.899999999999999" customHeight="1" x14ac:dyDescent="0.35">
      <c r="M1496" s="22"/>
    </row>
    <row r="1497" spans="13:13" ht="18.899999999999999" customHeight="1" x14ac:dyDescent="0.35">
      <c r="M1497" s="22"/>
    </row>
    <row r="1498" spans="13:13" ht="18.899999999999999" customHeight="1" x14ac:dyDescent="0.35">
      <c r="M1498" s="22"/>
    </row>
    <row r="1499" spans="13:13" ht="18.899999999999999" customHeight="1" x14ac:dyDescent="0.35">
      <c r="M1499" s="22"/>
    </row>
    <row r="1500" spans="13:13" ht="18.899999999999999" customHeight="1" x14ac:dyDescent="0.35">
      <c r="M1500" s="22"/>
    </row>
    <row r="1501" spans="13:13" ht="18.899999999999999" customHeight="1" x14ac:dyDescent="0.35">
      <c r="M1501" s="22"/>
    </row>
    <row r="1502" spans="13:13" ht="18.899999999999999" customHeight="1" x14ac:dyDescent="0.35">
      <c r="M1502" s="22"/>
    </row>
    <row r="1503" spans="13:13" ht="18.899999999999999" customHeight="1" x14ac:dyDescent="0.35">
      <c r="M1503" s="22"/>
    </row>
    <row r="1504" spans="13:13" ht="18.899999999999999" customHeight="1" x14ac:dyDescent="0.35">
      <c r="M1504" s="22"/>
    </row>
    <row r="1505" spans="13:13" ht="18.899999999999999" customHeight="1" x14ac:dyDescent="0.35">
      <c r="M1505" s="22"/>
    </row>
    <row r="1506" spans="13:13" ht="18.899999999999999" customHeight="1" x14ac:dyDescent="0.35">
      <c r="M1506" s="22"/>
    </row>
    <row r="1507" spans="13:13" ht="18.899999999999999" customHeight="1" x14ac:dyDescent="0.35">
      <c r="M1507" s="22"/>
    </row>
    <row r="1508" spans="13:13" ht="18.899999999999999" customHeight="1" x14ac:dyDescent="0.35">
      <c r="M1508" s="22"/>
    </row>
    <row r="1509" spans="13:13" ht="18.899999999999999" customHeight="1" x14ac:dyDescent="0.35">
      <c r="M1509" s="22"/>
    </row>
    <row r="1510" spans="13:13" ht="18.899999999999999" customHeight="1" x14ac:dyDescent="0.35">
      <c r="M1510" s="22"/>
    </row>
    <row r="1511" spans="13:13" ht="18.899999999999999" customHeight="1" x14ac:dyDescent="0.35">
      <c r="M1511" s="22"/>
    </row>
    <row r="1512" spans="13:13" ht="18.899999999999999" customHeight="1" x14ac:dyDescent="0.35">
      <c r="M1512" s="22"/>
    </row>
    <row r="1513" spans="13:13" ht="18.899999999999999" customHeight="1" x14ac:dyDescent="0.35">
      <c r="M1513" s="22"/>
    </row>
    <row r="1514" spans="13:13" ht="18.899999999999999" customHeight="1" x14ac:dyDescent="0.35">
      <c r="M1514" s="22"/>
    </row>
    <row r="1515" spans="13:13" ht="18.899999999999999" customHeight="1" x14ac:dyDescent="0.35">
      <c r="M1515" s="22"/>
    </row>
    <row r="1516" spans="13:13" ht="18.899999999999999" customHeight="1" x14ac:dyDescent="0.35">
      <c r="M1516" s="22"/>
    </row>
    <row r="1517" spans="13:13" ht="18.899999999999999" customHeight="1" x14ac:dyDescent="0.35">
      <c r="M1517" s="22"/>
    </row>
    <row r="1518" spans="13:13" ht="18.899999999999999" customHeight="1" x14ac:dyDescent="0.35">
      <c r="M1518" s="22"/>
    </row>
    <row r="1519" spans="13:13" ht="18.899999999999999" customHeight="1" x14ac:dyDescent="0.35">
      <c r="M1519" s="22"/>
    </row>
    <row r="1520" spans="13:13" ht="18.899999999999999" customHeight="1" x14ac:dyDescent="0.35">
      <c r="M1520" s="22"/>
    </row>
    <row r="1521" spans="13:13" ht="18.899999999999999" customHeight="1" x14ac:dyDescent="0.35">
      <c r="M1521" s="22"/>
    </row>
    <row r="1522" spans="13:13" ht="18.899999999999999" customHeight="1" x14ac:dyDescent="0.35">
      <c r="M1522" s="22"/>
    </row>
    <row r="1523" spans="13:13" ht="18.899999999999999" customHeight="1" x14ac:dyDescent="0.35">
      <c r="M1523" s="22"/>
    </row>
    <row r="1524" spans="13:13" ht="18.899999999999999" customHeight="1" x14ac:dyDescent="0.35">
      <c r="M1524" s="22"/>
    </row>
    <row r="1525" spans="13:13" ht="18.899999999999999" customHeight="1" x14ac:dyDescent="0.35">
      <c r="M1525" s="22"/>
    </row>
    <row r="1526" spans="13:13" ht="18.899999999999999" customHeight="1" x14ac:dyDescent="0.35">
      <c r="M1526" s="22"/>
    </row>
    <row r="1527" spans="13:13" ht="18.899999999999999" customHeight="1" x14ac:dyDescent="0.35">
      <c r="M1527" s="22"/>
    </row>
    <row r="1528" spans="13:13" ht="18.899999999999999" customHeight="1" x14ac:dyDescent="0.35">
      <c r="M1528" s="22"/>
    </row>
    <row r="1529" spans="13:13" ht="18.899999999999999" customHeight="1" x14ac:dyDescent="0.35">
      <c r="M1529" s="22"/>
    </row>
    <row r="1530" spans="13:13" ht="18.899999999999999" customHeight="1" x14ac:dyDescent="0.35">
      <c r="M1530" s="22"/>
    </row>
    <row r="1531" spans="13:13" ht="18.899999999999999" customHeight="1" x14ac:dyDescent="0.35">
      <c r="M1531" s="22"/>
    </row>
    <row r="1532" spans="13:13" ht="18.899999999999999" customHeight="1" x14ac:dyDescent="0.35">
      <c r="M1532" s="22"/>
    </row>
    <row r="1533" spans="13:13" ht="18.899999999999999" customHeight="1" x14ac:dyDescent="0.35">
      <c r="M1533" s="22"/>
    </row>
    <row r="1534" spans="13:13" ht="18.899999999999999" customHeight="1" x14ac:dyDescent="0.35">
      <c r="M1534" s="22"/>
    </row>
    <row r="1535" spans="13:13" ht="18.899999999999999" customHeight="1" x14ac:dyDescent="0.35">
      <c r="M1535" s="22"/>
    </row>
    <row r="1536" spans="13:13" ht="18.899999999999999" customHeight="1" x14ac:dyDescent="0.35">
      <c r="M1536" s="22"/>
    </row>
    <row r="1537" spans="13:13" ht="18.899999999999999" customHeight="1" x14ac:dyDescent="0.35">
      <c r="M1537" s="22"/>
    </row>
    <row r="1538" spans="13:13" ht="18.899999999999999" customHeight="1" x14ac:dyDescent="0.35">
      <c r="M1538" s="22"/>
    </row>
    <row r="1539" spans="13:13" ht="18.899999999999999" customHeight="1" x14ac:dyDescent="0.35">
      <c r="M1539" s="22"/>
    </row>
    <row r="1540" spans="13:13" ht="18.899999999999999" customHeight="1" x14ac:dyDescent="0.35">
      <c r="M1540" s="22"/>
    </row>
    <row r="1541" spans="13:13" ht="18.899999999999999" customHeight="1" x14ac:dyDescent="0.35">
      <c r="M1541" s="22"/>
    </row>
    <row r="1542" spans="13:13" ht="18.899999999999999" customHeight="1" x14ac:dyDescent="0.35">
      <c r="M1542" s="22"/>
    </row>
    <row r="1543" spans="13:13" ht="18.899999999999999" customHeight="1" x14ac:dyDescent="0.35">
      <c r="M1543" s="22"/>
    </row>
    <row r="1544" spans="13:13" ht="18.899999999999999" customHeight="1" x14ac:dyDescent="0.35">
      <c r="M1544" s="22"/>
    </row>
    <row r="1545" spans="13:13" ht="18.899999999999999" customHeight="1" x14ac:dyDescent="0.35">
      <c r="M1545" s="22"/>
    </row>
    <row r="1546" spans="13:13" ht="18.899999999999999" customHeight="1" x14ac:dyDescent="0.35">
      <c r="M1546" s="22"/>
    </row>
    <row r="1547" spans="13:13" ht="18.899999999999999" customHeight="1" x14ac:dyDescent="0.35">
      <c r="M1547" s="22"/>
    </row>
    <row r="1548" spans="13:13" ht="18.899999999999999" customHeight="1" x14ac:dyDescent="0.35">
      <c r="M1548" s="22"/>
    </row>
    <row r="1549" spans="13:13" ht="18.899999999999999" customHeight="1" x14ac:dyDescent="0.35">
      <c r="M1549" s="22"/>
    </row>
    <row r="1550" spans="13:13" ht="18.899999999999999" customHeight="1" x14ac:dyDescent="0.35">
      <c r="M1550" s="22"/>
    </row>
    <row r="1551" spans="13:13" ht="18.899999999999999" customHeight="1" x14ac:dyDescent="0.35">
      <c r="M1551" s="22"/>
    </row>
    <row r="1552" spans="13:13" ht="18.899999999999999" customHeight="1" x14ac:dyDescent="0.35">
      <c r="M1552" s="22"/>
    </row>
    <row r="1553" spans="13:13" ht="18.899999999999999" customHeight="1" x14ac:dyDescent="0.35">
      <c r="M1553" s="22"/>
    </row>
    <row r="1554" spans="13:13" ht="18.899999999999999" customHeight="1" x14ac:dyDescent="0.35">
      <c r="M1554" s="22"/>
    </row>
    <row r="1555" spans="13:13" ht="18.899999999999999" customHeight="1" x14ac:dyDescent="0.35">
      <c r="M1555" s="22"/>
    </row>
    <row r="1556" spans="13:13" ht="18.899999999999999" customHeight="1" x14ac:dyDescent="0.35">
      <c r="M1556" s="22"/>
    </row>
    <row r="1557" spans="13:13" ht="18.899999999999999" customHeight="1" x14ac:dyDescent="0.35">
      <c r="M1557" s="22"/>
    </row>
    <row r="1558" spans="13:13" ht="18.899999999999999" customHeight="1" x14ac:dyDescent="0.35">
      <c r="M1558" s="22"/>
    </row>
    <row r="1559" spans="13:13" ht="18.899999999999999" customHeight="1" x14ac:dyDescent="0.35">
      <c r="M1559" s="22"/>
    </row>
    <row r="1560" spans="13:13" ht="18.899999999999999" customHeight="1" x14ac:dyDescent="0.35">
      <c r="M1560" s="22"/>
    </row>
    <row r="1561" spans="13:13" ht="18.899999999999999" customHeight="1" x14ac:dyDescent="0.35">
      <c r="M1561" s="22"/>
    </row>
    <row r="1562" spans="13:13" ht="18.899999999999999" customHeight="1" x14ac:dyDescent="0.35">
      <c r="M1562" s="22"/>
    </row>
    <row r="1563" spans="13:13" ht="18.899999999999999" customHeight="1" x14ac:dyDescent="0.35">
      <c r="M1563" s="22"/>
    </row>
    <row r="1564" spans="13:13" ht="18.899999999999999" customHeight="1" x14ac:dyDescent="0.35">
      <c r="M1564" s="22"/>
    </row>
    <row r="1565" spans="13:13" ht="18.899999999999999" customHeight="1" x14ac:dyDescent="0.35">
      <c r="M1565" s="22"/>
    </row>
    <row r="1566" spans="13:13" ht="18.899999999999999" customHeight="1" x14ac:dyDescent="0.35">
      <c r="M1566" s="22"/>
    </row>
    <row r="1567" spans="13:13" ht="18.899999999999999" customHeight="1" x14ac:dyDescent="0.35">
      <c r="M1567" s="22"/>
    </row>
    <row r="1568" spans="13:13" ht="18.899999999999999" customHeight="1" x14ac:dyDescent="0.35">
      <c r="M1568" s="22"/>
    </row>
    <row r="1569" spans="13:13" ht="18.899999999999999" customHeight="1" x14ac:dyDescent="0.35">
      <c r="M1569" s="22"/>
    </row>
    <row r="1570" spans="13:13" ht="18.899999999999999" customHeight="1" x14ac:dyDescent="0.35">
      <c r="M1570" s="22"/>
    </row>
    <row r="1571" spans="13:13" ht="18.899999999999999" customHeight="1" x14ac:dyDescent="0.35">
      <c r="M1571" s="22"/>
    </row>
    <row r="1572" spans="13:13" ht="18.899999999999999" customHeight="1" x14ac:dyDescent="0.35">
      <c r="M1572" s="22"/>
    </row>
    <row r="1573" spans="13:13" ht="18.899999999999999" customHeight="1" x14ac:dyDescent="0.35">
      <c r="M1573" s="22"/>
    </row>
    <row r="1574" spans="13:13" ht="18.899999999999999" customHeight="1" x14ac:dyDescent="0.35">
      <c r="M1574" s="22"/>
    </row>
    <row r="1575" spans="13:13" ht="18.899999999999999" customHeight="1" x14ac:dyDescent="0.35">
      <c r="M1575" s="22"/>
    </row>
    <row r="1576" spans="13:13" ht="18.899999999999999" customHeight="1" x14ac:dyDescent="0.35">
      <c r="M1576" s="22"/>
    </row>
    <row r="1577" spans="13:13" ht="18.899999999999999" customHeight="1" x14ac:dyDescent="0.35">
      <c r="M1577" s="22"/>
    </row>
    <row r="1578" spans="13:13" ht="18.899999999999999" customHeight="1" x14ac:dyDescent="0.35">
      <c r="M1578" s="22"/>
    </row>
    <row r="1579" spans="13:13" ht="18.899999999999999" customHeight="1" x14ac:dyDescent="0.35">
      <c r="M1579" s="22"/>
    </row>
    <row r="1580" spans="13:13" ht="18.899999999999999" customHeight="1" x14ac:dyDescent="0.35">
      <c r="M1580" s="22"/>
    </row>
    <row r="1581" spans="13:13" ht="18.899999999999999" customHeight="1" x14ac:dyDescent="0.35">
      <c r="M1581" s="22"/>
    </row>
    <row r="1582" spans="13:13" ht="18.899999999999999" customHeight="1" x14ac:dyDescent="0.35">
      <c r="M1582" s="22"/>
    </row>
    <row r="1583" spans="13:13" ht="18.899999999999999" customHeight="1" x14ac:dyDescent="0.35">
      <c r="M1583" s="22"/>
    </row>
    <row r="1584" spans="13:13" ht="18.899999999999999" customHeight="1" x14ac:dyDescent="0.35">
      <c r="M1584" s="22"/>
    </row>
    <row r="1585" spans="13:13" ht="18.899999999999999" customHeight="1" x14ac:dyDescent="0.35">
      <c r="M1585" s="22"/>
    </row>
    <row r="1586" spans="13:13" ht="18.899999999999999" customHeight="1" x14ac:dyDescent="0.35">
      <c r="M1586" s="22"/>
    </row>
    <row r="1587" spans="13:13" ht="18.899999999999999" customHeight="1" x14ac:dyDescent="0.35">
      <c r="M1587" s="22"/>
    </row>
    <row r="1588" spans="13:13" ht="18.899999999999999" customHeight="1" x14ac:dyDescent="0.35">
      <c r="M1588" s="22"/>
    </row>
    <row r="1589" spans="13:13" ht="18.899999999999999" customHeight="1" x14ac:dyDescent="0.35">
      <c r="M1589" s="22"/>
    </row>
    <row r="1590" spans="13:13" ht="18.899999999999999" customHeight="1" x14ac:dyDescent="0.35">
      <c r="M1590" s="22"/>
    </row>
    <row r="1591" spans="13:13" ht="18.899999999999999" customHeight="1" x14ac:dyDescent="0.35">
      <c r="M1591" s="22"/>
    </row>
    <row r="1592" spans="13:13" ht="18.899999999999999" customHeight="1" x14ac:dyDescent="0.35">
      <c r="M1592" s="22"/>
    </row>
    <row r="1593" spans="13:13" ht="18.899999999999999" customHeight="1" x14ac:dyDescent="0.35">
      <c r="M1593" s="22"/>
    </row>
    <row r="1594" spans="13:13" ht="18.899999999999999" customHeight="1" x14ac:dyDescent="0.35">
      <c r="M1594" s="22"/>
    </row>
    <row r="1595" spans="13:13" ht="18.899999999999999" customHeight="1" x14ac:dyDescent="0.35">
      <c r="M1595" s="22"/>
    </row>
    <row r="1596" spans="13:13" ht="18.899999999999999" customHeight="1" x14ac:dyDescent="0.35">
      <c r="M1596" s="22"/>
    </row>
    <row r="1597" spans="13:13" ht="18.899999999999999" customHeight="1" x14ac:dyDescent="0.35">
      <c r="M1597" s="22"/>
    </row>
    <row r="1598" spans="13:13" ht="18.899999999999999" customHeight="1" x14ac:dyDescent="0.35">
      <c r="M1598" s="22"/>
    </row>
    <row r="1599" spans="13:13" ht="18.899999999999999" customHeight="1" x14ac:dyDescent="0.35">
      <c r="M1599" s="22"/>
    </row>
    <row r="1600" spans="13:13" ht="18.899999999999999" customHeight="1" x14ac:dyDescent="0.35">
      <c r="M1600" s="22"/>
    </row>
    <row r="1601" spans="13:13" ht="18.899999999999999" customHeight="1" x14ac:dyDescent="0.35">
      <c r="M1601" s="22"/>
    </row>
    <row r="1602" spans="13:13" ht="18.899999999999999" customHeight="1" x14ac:dyDescent="0.35">
      <c r="M1602" s="22"/>
    </row>
    <row r="1603" spans="13:13" ht="18.899999999999999" customHeight="1" x14ac:dyDescent="0.35">
      <c r="M1603" s="22"/>
    </row>
    <row r="1604" spans="13:13" ht="18.899999999999999" customHeight="1" x14ac:dyDescent="0.35">
      <c r="M1604" s="22"/>
    </row>
    <row r="1605" spans="13:13" ht="18.899999999999999" customHeight="1" x14ac:dyDescent="0.35">
      <c r="M1605" s="22"/>
    </row>
    <row r="1606" spans="13:13" ht="18.899999999999999" customHeight="1" x14ac:dyDescent="0.35">
      <c r="M1606" s="22"/>
    </row>
    <row r="1607" spans="13:13" ht="18.899999999999999" customHeight="1" x14ac:dyDescent="0.35">
      <c r="M1607" s="22"/>
    </row>
    <row r="1608" spans="13:13" ht="18.899999999999999" customHeight="1" x14ac:dyDescent="0.35">
      <c r="M1608" s="22"/>
    </row>
    <row r="1609" spans="13:13" ht="18.899999999999999" customHeight="1" x14ac:dyDescent="0.35">
      <c r="M1609" s="22"/>
    </row>
    <row r="1610" spans="13:13" ht="18.899999999999999" customHeight="1" x14ac:dyDescent="0.35">
      <c r="M1610" s="22"/>
    </row>
    <row r="1611" spans="13:13" ht="18.899999999999999" customHeight="1" x14ac:dyDescent="0.35">
      <c r="M1611" s="22"/>
    </row>
    <row r="1612" spans="13:13" ht="18.899999999999999" customHeight="1" x14ac:dyDescent="0.35">
      <c r="M1612" s="22"/>
    </row>
    <row r="1613" spans="13:13" ht="18.899999999999999" customHeight="1" x14ac:dyDescent="0.35">
      <c r="M1613" s="22"/>
    </row>
    <row r="1614" spans="13:13" ht="18.899999999999999" customHeight="1" x14ac:dyDescent="0.35">
      <c r="M1614" s="22"/>
    </row>
    <row r="1615" spans="13:13" ht="18.899999999999999" customHeight="1" x14ac:dyDescent="0.35">
      <c r="M1615" s="22"/>
    </row>
    <row r="1616" spans="13:13" ht="18.899999999999999" customHeight="1" x14ac:dyDescent="0.35">
      <c r="M1616" s="22"/>
    </row>
    <row r="1617" spans="13:13" ht="18.899999999999999" customHeight="1" x14ac:dyDescent="0.35">
      <c r="M1617" s="22"/>
    </row>
    <row r="1618" spans="13:13" ht="18.899999999999999" customHeight="1" x14ac:dyDescent="0.35">
      <c r="M1618" s="22"/>
    </row>
    <row r="1619" spans="13:13" ht="18.899999999999999" customHeight="1" x14ac:dyDescent="0.35">
      <c r="M1619" s="22"/>
    </row>
    <row r="1620" spans="13:13" ht="18.899999999999999" customHeight="1" x14ac:dyDescent="0.35">
      <c r="M1620" s="22"/>
    </row>
    <row r="1621" spans="13:13" ht="18.899999999999999" customHeight="1" x14ac:dyDescent="0.35">
      <c r="M1621" s="22"/>
    </row>
    <row r="1622" spans="13:13" ht="18.899999999999999" customHeight="1" x14ac:dyDescent="0.35">
      <c r="M1622" s="22"/>
    </row>
    <row r="1623" spans="13:13" ht="18.899999999999999" customHeight="1" x14ac:dyDescent="0.35">
      <c r="M1623" s="22"/>
    </row>
    <row r="1624" spans="13:13" ht="18.899999999999999" customHeight="1" x14ac:dyDescent="0.35">
      <c r="M1624" s="22"/>
    </row>
    <row r="1625" spans="13:13" ht="18.899999999999999" customHeight="1" x14ac:dyDescent="0.35">
      <c r="M1625" s="22"/>
    </row>
    <row r="1626" spans="13:13" ht="18.899999999999999" customHeight="1" x14ac:dyDescent="0.35">
      <c r="M1626" s="22"/>
    </row>
    <row r="1627" spans="13:13" ht="18.899999999999999" customHeight="1" x14ac:dyDescent="0.35">
      <c r="M1627" s="22"/>
    </row>
    <row r="1628" spans="13:13" ht="18.899999999999999" customHeight="1" x14ac:dyDescent="0.35">
      <c r="M1628" s="22"/>
    </row>
    <row r="1629" spans="13:13" ht="18.899999999999999" customHeight="1" x14ac:dyDescent="0.35">
      <c r="M1629" s="22"/>
    </row>
    <row r="1630" spans="13:13" ht="18.899999999999999" customHeight="1" x14ac:dyDescent="0.35">
      <c r="M1630" s="22"/>
    </row>
    <row r="1631" spans="13:13" ht="18.899999999999999" customHeight="1" x14ac:dyDescent="0.35">
      <c r="M1631" s="22"/>
    </row>
    <row r="1632" spans="13:13" ht="18.899999999999999" customHeight="1" x14ac:dyDescent="0.35">
      <c r="M1632" s="22"/>
    </row>
    <row r="1633" spans="13:13" ht="18.899999999999999" customHeight="1" x14ac:dyDescent="0.35">
      <c r="M1633" s="22"/>
    </row>
    <row r="1634" spans="13:13" ht="18.899999999999999" customHeight="1" x14ac:dyDescent="0.35">
      <c r="M1634" s="22"/>
    </row>
    <row r="1635" spans="13:13" ht="18.899999999999999" customHeight="1" x14ac:dyDescent="0.35">
      <c r="M1635" s="22"/>
    </row>
    <row r="1636" spans="13:13" ht="18.899999999999999" customHeight="1" x14ac:dyDescent="0.35">
      <c r="M1636" s="22"/>
    </row>
    <row r="1637" spans="13:13" ht="18.899999999999999" customHeight="1" x14ac:dyDescent="0.35">
      <c r="M1637" s="22"/>
    </row>
    <row r="1638" spans="13:13" ht="18.899999999999999" customHeight="1" x14ac:dyDescent="0.35">
      <c r="M1638" s="22"/>
    </row>
    <row r="1639" spans="13:13" ht="18.899999999999999" customHeight="1" x14ac:dyDescent="0.35">
      <c r="M1639" s="22"/>
    </row>
    <row r="1640" spans="13:13" ht="18.899999999999999" customHeight="1" x14ac:dyDescent="0.35">
      <c r="M1640" s="22"/>
    </row>
    <row r="1641" spans="13:13" ht="18.899999999999999" customHeight="1" x14ac:dyDescent="0.35">
      <c r="M1641" s="22"/>
    </row>
    <row r="1642" spans="13:13" ht="18.899999999999999" customHeight="1" x14ac:dyDescent="0.35">
      <c r="M1642" s="22"/>
    </row>
    <row r="1643" spans="13:13" ht="18.899999999999999" customHeight="1" x14ac:dyDescent="0.35">
      <c r="M1643" s="22"/>
    </row>
    <row r="1644" spans="13:13" ht="18.899999999999999" customHeight="1" x14ac:dyDescent="0.35">
      <c r="M1644" s="22"/>
    </row>
    <row r="1645" spans="13:13" ht="18.899999999999999" customHeight="1" x14ac:dyDescent="0.35">
      <c r="M1645" s="22"/>
    </row>
    <row r="1646" spans="13:13" ht="18.899999999999999" customHeight="1" x14ac:dyDescent="0.35">
      <c r="M1646" s="22"/>
    </row>
    <row r="1647" spans="13:13" ht="18.899999999999999" customHeight="1" x14ac:dyDescent="0.35">
      <c r="M1647" s="22"/>
    </row>
    <row r="1648" spans="13:13" ht="18.899999999999999" customHeight="1" x14ac:dyDescent="0.35">
      <c r="M1648" s="22"/>
    </row>
    <row r="1649" spans="13:13" ht="18.899999999999999" customHeight="1" x14ac:dyDescent="0.35">
      <c r="M1649" s="22"/>
    </row>
    <row r="1650" spans="13:13" ht="18.899999999999999" customHeight="1" x14ac:dyDescent="0.35">
      <c r="M1650" s="22"/>
    </row>
    <row r="1651" spans="13:13" ht="18.899999999999999" customHeight="1" x14ac:dyDescent="0.35">
      <c r="M1651" s="22"/>
    </row>
    <row r="1652" spans="13:13" ht="18.899999999999999" customHeight="1" x14ac:dyDescent="0.35">
      <c r="M1652" s="22"/>
    </row>
    <row r="1653" spans="13:13" ht="18.899999999999999" customHeight="1" x14ac:dyDescent="0.35">
      <c r="M1653" s="22"/>
    </row>
    <row r="1654" spans="13:13" ht="18.899999999999999" customHeight="1" x14ac:dyDescent="0.35">
      <c r="M1654" s="22"/>
    </row>
    <row r="1655" spans="13:13" ht="18.899999999999999" customHeight="1" x14ac:dyDescent="0.35">
      <c r="M1655" s="22"/>
    </row>
    <row r="1656" spans="13:13" ht="18.899999999999999" customHeight="1" x14ac:dyDescent="0.35">
      <c r="M1656" s="22"/>
    </row>
    <row r="1657" spans="13:13" ht="18.899999999999999" customHeight="1" x14ac:dyDescent="0.35">
      <c r="M1657" s="22"/>
    </row>
    <row r="1658" spans="13:13" ht="18.899999999999999" customHeight="1" x14ac:dyDescent="0.35">
      <c r="M1658" s="22"/>
    </row>
    <row r="1659" spans="13:13" ht="18.899999999999999" customHeight="1" x14ac:dyDescent="0.35">
      <c r="M1659" s="22"/>
    </row>
    <row r="1660" spans="13:13" ht="18.899999999999999" customHeight="1" x14ac:dyDescent="0.35">
      <c r="M1660" s="22"/>
    </row>
    <row r="1661" spans="13:13" ht="18.899999999999999" customHeight="1" x14ac:dyDescent="0.35">
      <c r="M1661" s="22"/>
    </row>
    <row r="1662" spans="13:13" ht="18.899999999999999" customHeight="1" x14ac:dyDescent="0.35">
      <c r="M1662" s="22"/>
    </row>
    <row r="1663" spans="13:13" ht="18.899999999999999" customHeight="1" x14ac:dyDescent="0.35">
      <c r="M1663" s="22"/>
    </row>
    <row r="1664" spans="13:13" ht="18.899999999999999" customHeight="1" x14ac:dyDescent="0.35">
      <c r="M1664" s="22"/>
    </row>
    <row r="1665" spans="13:13" ht="18.899999999999999" customHeight="1" x14ac:dyDescent="0.35">
      <c r="M1665" s="22"/>
    </row>
    <row r="1666" spans="13:13" ht="18.899999999999999" customHeight="1" x14ac:dyDescent="0.35">
      <c r="M1666" s="22"/>
    </row>
    <row r="1667" spans="13:13" ht="18.899999999999999" customHeight="1" x14ac:dyDescent="0.35">
      <c r="M1667" s="22"/>
    </row>
    <row r="1668" spans="13:13" ht="18.899999999999999" customHeight="1" x14ac:dyDescent="0.35">
      <c r="M1668" s="22"/>
    </row>
    <row r="1669" spans="13:13" ht="18.899999999999999" customHeight="1" x14ac:dyDescent="0.35">
      <c r="M1669" s="22"/>
    </row>
    <row r="1670" spans="13:13" ht="18.899999999999999" customHeight="1" x14ac:dyDescent="0.35">
      <c r="M1670" s="22"/>
    </row>
    <row r="1671" spans="13:13" ht="18.899999999999999" customHeight="1" x14ac:dyDescent="0.35">
      <c r="M1671" s="22"/>
    </row>
    <row r="1672" spans="13:13" ht="18.899999999999999" customHeight="1" x14ac:dyDescent="0.35">
      <c r="M1672" s="22"/>
    </row>
    <row r="1673" spans="13:13" ht="18.899999999999999" customHeight="1" x14ac:dyDescent="0.35">
      <c r="M1673" s="22"/>
    </row>
    <row r="1674" spans="13:13" ht="18.899999999999999" customHeight="1" x14ac:dyDescent="0.35">
      <c r="M1674" s="22"/>
    </row>
    <row r="1675" spans="13:13" ht="18.899999999999999" customHeight="1" x14ac:dyDescent="0.35">
      <c r="M1675" s="22"/>
    </row>
    <row r="1676" spans="13:13" ht="18.899999999999999" customHeight="1" x14ac:dyDescent="0.35">
      <c r="M1676" s="22"/>
    </row>
    <row r="1677" spans="13:13" ht="18.899999999999999" customHeight="1" x14ac:dyDescent="0.35">
      <c r="M1677" s="22"/>
    </row>
    <row r="1678" spans="13:13" ht="18.899999999999999" customHeight="1" x14ac:dyDescent="0.35">
      <c r="M1678" s="22"/>
    </row>
    <row r="1679" spans="13:13" ht="18.899999999999999" customHeight="1" x14ac:dyDescent="0.35">
      <c r="M1679" s="22"/>
    </row>
    <row r="1680" spans="13:13" ht="18.899999999999999" customHeight="1" x14ac:dyDescent="0.35">
      <c r="M1680" s="22"/>
    </row>
    <row r="1681" spans="13:13" ht="18.899999999999999" customHeight="1" x14ac:dyDescent="0.35">
      <c r="M1681" s="22"/>
    </row>
    <row r="1682" spans="13:13" ht="18.899999999999999" customHeight="1" x14ac:dyDescent="0.35">
      <c r="M1682" s="22"/>
    </row>
    <row r="1683" spans="13:13" ht="18.899999999999999" customHeight="1" x14ac:dyDescent="0.35">
      <c r="M1683" s="22"/>
    </row>
    <row r="1684" spans="13:13" ht="18.899999999999999" customHeight="1" x14ac:dyDescent="0.35">
      <c r="M1684" s="22"/>
    </row>
    <row r="1685" spans="13:13" ht="18.899999999999999" customHeight="1" x14ac:dyDescent="0.35">
      <c r="M1685" s="22"/>
    </row>
    <row r="1686" spans="13:13" ht="18.899999999999999" customHeight="1" x14ac:dyDescent="0.35">
      <c r="M1686" s="22"/>
    </row>
    <row r="1687" spans="13:13" ht="18.899999999999999" customHeight="1" x14ac:dyDescent="0.35">
      <c r="M1687" s="22"/>
    </row>
    <row r="1688" spans="13:13" ht="18.899999999999999" customHeight="1" x14ac:dyDescent="0.35">
      <c r="M1688" s="22"/>
    </row>
    <row r="1689" spans="13:13" ht="18.899999999999999" customHeight="1" x14ac:dyDescent="0.35">
      <c r="M1689" s="22"/>
    </row>
    <row r="1690" spans="13:13" ht="18.899999999999999" customHeight="1" x14ac:dyDescent="0.35">
      <c r="M1690" s="22"/>
    </row>
    <row r="1691" spans="13:13" ht="18.899999999999999" customHeight="1" x14ac:dyDescent="0.35">
      <c r="M1691" s="22"/>
    </row>
    <row r="1692" spans="13:13" ht="18.899999999999999" customHeight="1" x14ac:dyDescent="0.35">
      <c r="M1692" s="22"/>
    </row>
    <row r="1693" spans="13:13" ht="18.899999999999999" customHeight="1" x14ac:dyDescent="0.35">
      <c r="M1693" s="22"/>
    </row>
    <row r="1694" spans="13:13" ht="18.899999999999999" customHeight="1" x14ac:dyDescent="0.35">
      <c r="M1694" s="22"/>
    </row>
    <row r="1695" spans="13:13" ht="18.899999999999999" customHeight="1" x14ac:dyDescent="0.35">
      <c r="M1695" s="22"/>
    </row>
    <row r="1696" spans="13:13" ht="18.899999999999999" customHeight="1" x14ac:dyDescent="0.35">
      <c r="M1696" s="22"/>
    </row>
    <row r="1697" spans="13:13" ht="18.899999999999999" customHeight="1" x14ac:dyDescent="0.35">
      <c r="M1697" s="22"/>
    </row>
    <row r="1698" spans="13:13" ht="18.899999999999999" customHeight="1" x14ac:dyDescent="0.35">
      <c r="M1698" s="22"/>
    </row>
    <row r="1699" spans="13:13" ht="18.899999999999999" customHeight="1" x14ac:dyDescent="0.35">
      <c r="M1699" s="22"/>
    </row>
    <row r="1700" spans="13:13" ht="18.899999999999999" customHeight="1" x14ac:dyDescent="0.35">
      <c r="M1700" s="22"/>
    </row>
    <row r="1701" spans="13:13" ht="18.899999999999999" customHeight="1" x14ac:dyDescent="0.35">
      <c r="M1701" s="22"/>
    </row>
    <row r="1702" spans="13:13" ht="18.899999999999999" customHeight="1" x14ac:dyDescent="0.35">
      <c r="M1702" s="22"/>
    </row>
    <row r="1703" spans="13:13" ht="18.899999999999999" customHeight="1" x14ac:dyDescent="0.35">
      <c r="M1703" s="22"/>
    </row>
    <row r="1704" spans="13:13" ht="18.899999999999999" customHeight="1" x14ac:dyDescent="0.35">
      <c r="M1704" s="22"/>
    </row>
    <row r="1705" spans="13:13" ht="18.899999999999999" customHeight="1" x14ac:dyDescent="0.35">
      <c r="M1705" s="22"/>
    </row>
    <row r="1706" spans="13:13" ht="18.899999999999999" customHeight="1" x14ac:dyDescent="0.35">
      <c r="M1706" s="22"/>
    </row>
    <row r="1707" spans="13:13" ht="18.899999999999999" customHeight="1" x14ac:dyDescent="0.35">
      <c r="M1707" s="22"/>
    </row>
    <row r="1708" spans="13:13" ht="18.899999999999999" customHeight="1" x14ac:dyDescent="0.35">
      <c r="M1708" s="22"/>
    </row>
    <row r="1709" spans="13:13" ht="18.899999999999999" customHeight="1" x14ac:dyDescent="0.35">
      <c r="M1709" s="22"/>
    </row>
    <row r="1710" spans="13:13" ht="18.899999999999999" customHeight="1" x14ac:dyDescent="0.35">
      <c r="M1710" s="22"/>
    </row>
    <row r="1711" spans="13:13" ht="18.899999999999999" customHeight="1" x14ac:dyDescent="0.35">
      <c r="M1711" s="22"/>
    </row>
    <row r="1712" spans="13:13" ht="18.899999999999999" customHeight="1" x14ac:dyDescent="0.35">
      <c r="M1712" s="22"/>
    </row>
    <row r="1713" spans="13:13" ht="18.899999999999999" customHeight="1" x14ac:dyDescent="0.35">
      <c r="M1713" s="22"/>
    </row>
    <row r="1714" spans="13:13" ht="18.899999999999999" customHeight="1" x14ac:dyDescent="0.35">
      <c r="M1714" s="22"/>
    </row>
    <row r="1715" spans="13:13" ht="18.899999999999999" customHeight="1" x14ac:dyDescent="0.35">
      <c r="M1715" s="22"/>
    </row>
    <row r="1716" spans="13:13" ht="18.899999999999999" customHeight="1" x14ac:dyDescent="0.35">
      <c r="M1716" s="22"/>
    </row>
    <row r="1717" spans="13:13" ht="18.899999999999999" customHeight="1" x14ac:dyDescent="0.35">
      <c r="M1717" s="22"/>
    </row>
    <row r="1718" spans="13:13" ht="18.899999999999999" customHeight="1" x14ac:dyDescent="0.35">
      <c r="M1718" s="22"/>
    </row>
    <row r="1719" spans="13:13" ht="18.899999999999999" customHeight="1" x14ac:dyDescent="0.35">
      <c r="M1719" s="22"/>
    </row>
    <row r="1720" spans="13:13" ht="18.899999999999999" customHeight="1" x14ac:dyDescent="0.35">
      <c r="M1720" s="22"/>
    </row>
    <row r="1721" spans="13:13" ht="18.899999999999999" customHeight="1" x14ac:dyDescent="0.35">
      <c r="M1721" s="22"/>
    </row>
    <row r="1722" spans="13:13" ht="18.899999999999999" customHeight="1" x14ac:dyDescent="0.35">
      <c r="M1722" s="22"/>
    </row>
    <row r="1723" spans="13:13" ht="18.899999999999999" customHeight="1" x14ac:dyDescent="0.35">
      <c r="M1723" s="22"/>
    </row>
    <row r="1724" spans="13:13" ht="18.899999999999999" customHeight="1" x14ac:dyDescent="0.35">
      <c r="M1724" s="22"/>
    </row>
    <row r="1725" spans="13:13" ht="18.899999999999999" customHeight="1" x14ac:dyDescent="0.35">
      <c r="M1725" s="22"/>
    </row>
    <row r="1726" spans="13:13" ht="18.899999999999999" customHeight="1" x14ac:dyDescent="0.35">
      <c r="M1726" s="22"/>
    </row>
    <row r="1727" spans="13:13" ht="18.899999999999999" customHeight="1" x14ac:dyDescent="0.35">
      <c r="M1727" s="22"/>
    </row>
    <row r="1728" spans="13:13" ht="18.899999999999999" customHeight="1" x14ac:dyDescent="0.35">
      <c r="M1728" s="22"/>
    </row>
    <row r="1729" spans="13:13" ht="18.899999999999999" customHeight="1" x14ac:dyDescent="0.35">
      <c r="M1729" s="22"/>
    </row>
    <row r="1730" spans="13:13" ht="18.899999999999999" customHeight="1" x14ac:dyDescent="0.35">
      <c r="M1730" s="22"/>
    </row>
    <row r="1731" spans="13:13" ht="18.899999999999999" customHeight="1" x14ac:dyDescent="0.35">
      <c r="M1731" s="22"/>
    </row>
    <row r="1732" spans="13:13" ht="18.899999999999999" customHeight="1" x14ac:dyDescent="0.35">
      <c r="M1732" s="22"/>
    </row>
    <row r="1733" spans="13:13" ht="18.899999999999999" customHeight="1" x14ac:dyDescent="0.35">
      <c r="M1733" s="22"/>
    </row>
    <row r="1734" spans="13:13" ht="18.899999999999999" customHeight="1" x14ac:dyDescent="0.35">
      <c r="M1734" s="22"/>
    </row>
    <row r="1735" spans="13:13" ht="18.899999999999999" customHeight="1" x14ac:dyDescent="0.35">
      <c r="M1735" s="22"/>
    </row>
    <row r="1736" spans="13:13" ht="18.899999999999999" customHeight="1" x14ac:dyDescent="0.35">
      <c r="M1736" s="22"/>
    </row>
    <row r="1737" spans="13:13" ht="18.899999999999999" customHeight="1" x14ac:dyDescent="0.35">
      <c r="M1737" s="22"/>
    </row>
    <row r="1738" spans="13:13" ht="18.899999999999999" customHeight="1" x14ac:dyDescent="0.35">
      <c r="M1738" s="22"/>
    </row>
    <row r="1739" spans="13:13" ht="18.899999999999999" customHeight="1" x14ac:dyDescent="0.35">
      <c r="M1739" s="22"/>
    </row>
    <row r="1740" spans="13:13" ht="18.899999999999999" customHeight="1" x14ac:dyDescent="0.35">
      <c r="M1740" s="22"/>
    </row>
    <row r="1741" spans="13:13" ht="18.899999999999999" customHeight="1" x14ac:dyDescent="0.35">
      <c r="M1741" s="22"/>
    </row>
    <row r="1742" spans="13:13" ht="18.899999999999999" customHeight="1" x14ac:dyDescent="0.35">
      <c r="M1742" s="22"/>
    </row>
    <row r="1743" spans="13:13" ht="18.899999999999999" customHeight="1" x14ac:dyDescent="0.35">
      <c r="M1743" s="22"/>
    </row>
    <row r="1744" spans="13:13" ht="18.899999999999999" customHeight="1" x14ac:dyDescent="0.35">
      <c r="M1744" s="22"/>
    </row>
    <row r="1745" spans="13:13" ht="18.899999999999999" customHeight="1" x14ac:dyDescent="0.35">
      <c r="M1745" s="22"/>
    </row>
    <row r="1746" spans="13:13" ht="18.899999999999999" customHeight="1" x14ac:dyDescent="0.35">
      <c r="M1746" s="22"/>
    </row>
    <row r="1747" spans="13:13" ht="18.899999999999999" customHeight="1" x14ac:dyDescent="0.35">
      <c r="M1747" s="22"/>
    </row>
    <row r="1748" spans="13:13" ht="18.899999999999999" customHeight="1" x14ac:dyDescent="0.35">
      <c r="M1748" s="22"/>
    </row>
    <row r="1749" spans="13:13" ht="18.899999999999999" customHeight="1" x14ac:dyDescent="0.35">
      <c r="M1749" s="22"/>
    </row>
    <row r="1750" spans="13:13" ht="18.899999999999999" customHeight="1" x14ac:dyDescent="0.35">
      <c r="M1750" s="22"/>
    </row>
    <row r="1751" spans="13:13" ht="18.899999999999999" customHeight="1" x14ac:dyDescent="0.35">
      <c r="M1751" s="22"/>
    </row>
    <row r="1752" spans="13:13" ht="18.899999999999999" customHeight="1" x14ac:dyDescent="0.35">
      <c r="M1752" s="22"/>
    </row>
    <row r="1753" spans="13:13" ht="18.899999999999999" customHeight="1" x14ac:dyDescent="0.35">
      <c r="M1753" s="22"/>
    </row>
    <row r="1754" spans="13:13" ht="18.899999999999999" customHeight="1" x14ac:dyDescent="0.35">
      <c r="M1754" s="22"/>
    </row>
    <row r="1755" spans="13:13" ht="18.899999999999999" customHeight="1" x14ac:dyDescent="0.35">
      <c r="M1755" s="22"/>
    </row>
    <row r="1756" spans="13:13" ht="18.899999999999999" customHeight="1" x14ac:dyDescent="0.35">
      <c r="M1756" s="22"/>
    </row>
    <row r="1757" spans="13:13" ht="18.899999999999999" customHeight="1" x14ac:dyDescent="0.35">
      <c r="M1757" s="22"/>
    </row>
    <row r="1758" spans="13:13" ht="18.899999999999999" customHeight="1" x14ac:dyDescent="0.35">
      <c r="M1758" s="22"/>
    </row>
    <row r="1759" spans="13:13" ht="18.899999999999999" customHeight="1" x14ac:dyDescent="0.35">
      <c r="M1759" s="22"/>
    </row>
    <row r="1760" spans="13:13" ht="18.899999999999999" customHeight="1" x14ac:dyDescent="0.35">
      <c r="M1760" s="22"/>
    </row>
    <row r="1761" spans="13:13" ht="18.899999999999999" customHeight="1" x14ac:dyDescent="0.35">
      <c r="M1761" s="22"/>
    </row>
    <row r="1762" spans="13:13" ht="18.899999999999999" customHeight="1" x14ac:dyDescent="0.35">
      <c r="M1762" s="22"/>
    </row>
    <row r="1763" spans="13:13" ht="18.899999999999999" customHeight="1" x14ac:dyDescent="0.35">
      <c r="M1763" s="22"/>
    </row>
    <row r="1764" spans="13:13" ht="18.899999999999999" customHeight="1" x14ac:dyDescent="0.35">
      <c r="M1764" s="22"/>
    </row>
    <row r="1765" spans="13:13" ht="18.899999999999999" customHeight="1" x14ac:dyDescent="0.35">
      <c r="M1765" s="22"/>
    </row>
    <row r="1766" spans="13:13" ht="18.899999999999999" customHeight="1" x14ac:dyDescent="0.35">
      <c r="M1766" s="22"/>
    </row>
    <row r="1767" spans="13:13" ht="18.899999999999999" customHeight="1" x14ac:dyDescent="0.35">
      <c r="M1767" s="22"/>
    </row>
    <row r="1768" spans="13:13" ht="18.899999999999999" customHeight="1" x14ac:dyDescent="0.35">
      <c r="M1768" s="22"/>
    </row>
    <row r="1769" spans="13:13" ht="18.899999999999999" customHeight="1" x14ac:dyDescent="0.35">
      <c r="M1769" s="22"/>
    </row>
    <row r="1770" spans="13:13" ht="18.899999999999999" customHeight="1" x14ac:dyDescent="0.35">
      <c r="M1770" s="22"/>
    </row>
    <row r="1771" spans="13:13" ht="18.899999999999999" customHeight="1" x14ac:dyDescent="0.35">
      <c r="M1771" s="22"/>
    </row>
    <row r="1772" spans="13:13" ht="18.899999999999999" customHeight="1" x14ac:dyDescent="0.35">
      <c r="M1772" s="22"/>
    </row>
    <row r="1773" spans="13:13" ht="18.899999999999999" customHeight="1" x14ac:dyDescent="0.35">
      <c r="M1773" s="22"/>
    </row>
    <row r="1774" spans="13:13" ht="18.899999999999999" customHeight="1" x14ac:dyDescent="0.35">
      <c r="M1774" s="22"/>
    </row>
    <row r="1775" spans="13:13" ht="18.899999999999999" customHeight="1" x14ac:dyDescent="0.35">
      <c r="M1775" s="22"/>
    </row>
    <row r="1776" spans="13:13" ht="18.899999999999999" customHeight="1" x14ac:dyDescent="0.35">
      <c r="M1776" s="22"/>
    </row>
    <row r="1777" spans="13:13" ht="18.899999999999999" customHeight="1" x14ac:dyDescent="0.35">
      <c r="M1777" s="22"/>
    </row>
    <row r="1778" spans="13:13" ht="18.899999999999999" customHeight="1" x14ac:dyDescent="0.35">
      <c r="M1778" s="22"/>
    </row>
    <row r="1779" spans="13:13" ht="18.899999999999999" customHeight="1" x14ac:dyDescent="0.35">
      <c r="M1779" s="22"/>
    </row>
    <row r="1780" spans="13:13" ht="18.899999999999999" customHeight="1" x14ac:dyDescent="0.35">
      <c r="M1780" s="22"/>
    </row>
    <row r="1781" spans="13:13" ht="18.899999999999999" customHeight="1" x14ac:dyDescent="0.35">
      <c r="M1781" s="22"/>
    </row>
    <row r="1782" spans="13:13" ht="18.899999999999999" customHeight="1" x14ac:dyDescent="0.35">
      <c r="M1782" s="22"/>
    </row>
    <row r="1783" spans="13:13" ht="18.899999999999999" customHeight="1" x14ac:dyDescent="0.35">
      <c r="M1783" s="22"/>
    </row>
    <row r="1784" spans="13:13" ht="18.899999999999999" customHeight="1" x14ac:dyDescent="0.35">
      <c r="M1784" s="22"/>
    </row>
    <row r="1785" spans="13:13" ht="18.899999999999999" customHeight="1" x14ac:dyDescent="0.35">
      <c r="M1785" s="22"/>
    </row>
    <row r="1786" spans="13:13" ht="18.899999999999999" customHeight="1" x14ac:dyDescent="0.35">
      <c r="M1786" s="22"/>
    </row>
    <row r="1787" spans="13:13" ht="18.899999999999999" customHeight="1" x14ac:dyDescent="0.35">
      <c r="M1787" s="22"/>
    </row>
    <row r="1788" spans="13:13" ht="18.899999999999999" customHeight="1" x14ac:dyDescent="0.35">
      <c r="M1788" s="22"/>
    </row>
    <row r="1789" spans="13:13" ht="18.899999999999999" customHeight="1" x14ac:dyDescent="0.35">
      <c r="M1789" s="22"/>
    </row>
    <row r="1790" spans="13:13" ht="18.899999999999999" customHeight="1" x14ac:dyDescent="0.35">
      <c r="M1790" s="22"/>
    </row>
    <row r="1791" spans="13:13" ht="18.899999999999999" customHeight="1" x14ac:dyDescent="0.35">
      <c r="M1791" s="22"/>
    </row>
    <row r="1792" spans="13:13" ht="18.899999999999999" customHeight="1" x14ac:dyDescent="0.35">
      <c r="M1792" s="22"/>
    </row>
    <row r="1793" spans="13:13" ht="18.899999999999999" customHeight="1" x14ac:dyDescent="0.35">
      <c r="M1793" s="22"/>
    </row>
    <row r="1794" spans="13:13" ht="18.899999999999999" customHeight="1" x14ac:dyDescent="0.35">
      <c r="M1794" s="22"/>
    </row>
    <row r="1795" spans="13:13" ht="18.899999999999999" customHeight="1" x14ac:dyDescent="0.35">
      <c r="M1795" s="22"/>
    </row>
    <row r="1796" spans="13:13" ht="18.899999999999999" customHeight="1" x14ac:dyDescent="0.35">
      <c r="M1796" s="22"/>
    </row>
    <row r="1797" spans="13:13" ht="18.899999999999999" customHeight="1" x14ac:dyDescent="0.35">
      <c r="M1797" s="22"/>
    </row>
    <row r="1798" spans="13:13" ht="18.899999999999999" customHeight="1" x14ac:dyDescent="0.35">
      <c r="M1798" s="22"/>
    </row>
    <row r="1799" spans="13:13" ht="18.899999999999999" customHeight="1" x14ac:dyDescent="0.35">
      <c r="M1799" s="22"/>
    </row>
    <row r="1800" spans="13:13" ht="18.899999999999999" customHeight="1" x14ac:dyDescent="0.35">
      <c r="M1800" s="22"/>
    </row>
    <row r="1801" spans="13:13" ht="18.899999999999999" customHeight="1" x14ac:dyDescent="0.35">
      <c r="M1801" s="22"/>
    </row>
    <row r="1802" spans="13:13" ht="18.899999999999999" customHeight="1" x14ac:dyDescent="0.35">
      <c r="M1802" s="22"/>
    </row>
    <row r="1803" spans="13:13" ht="18.899999999999999" customHeight="1" x14ac:dyDescent="0.35">
      <c r="M1803" s="22"/>
    </row>
    <row r="1804" spans="13:13" ht="18.899999999999999" customHeight="1" x14ac:dyDescent="0.35">
      <c r="M1804" s="22"/>
    </row>
    <row r="1805" spans="13:13" ht="18.899999999999999" customHeight="1" x14ac:dyDescent="0.35">
      <c r="M1805" s="22"/>
    </row>
    <row r="1806" spans="13:13" ht="18.899999999999999" customHeight="1" x14ac:dyDescent="0.35">
      <c r="M1806" s="22"/>
    </row>
    <row r="1807" spans="13:13" ht="18.899999999999999" customHeight="1" x14ac:dyDescent="0.35">
      <c r="M1807" s="22"/>
    </row>
    <row r="1808" spans="13:13" ht="18.899999999999999" customHeight="1" x14ac:dyDescent="0.35">
      <c r="M1808" s="22"/>
    </row>
    <row r="1809" spans="13:13" ht="18.899999999999999" customHeight="1" x14ac:dyDescent="0.35">
      <c r="M1809" s="22"/>
    </row>
    <row r="1810" spans="13:13" ht="18.899999999999999" customHeight="1" x14ac:dyDescent="0.35">
      <c r="M1810" s="22"/>
    </row>
    <row r="1811" spans="13:13" ht="18.899999999999999" customHeight="1" x14ac:dyDescent="0.35">
      <c r="M1811" s="22"/>
    </row>
    <row r="1812" spans="13:13" ht="18.899999999999999" customHeight="1" x14ac:dyDescent="0.35">
      <c r="M1812" s="22"/>
    </row>
    <row r="1813" spans="13:13" ht="18.899999999999999" customHeight="1" x14ac:dyDescent="0.35">
      <c r="M1813" s="22"/>
    </row>
    <row r="1814" spans="13:13" ht="18.899999999999999" customHeight="1" x14ac:dyDescent="0.35">
      <c r="M1814" s="22"/>
    </row>
    <row r="1815" spans="13:13" ht="18.899999999999999" customHeight="1" x14ac:dyDescent="0.35">
      <c r="M1815" s="22"/>
    </row>
    <row r="1816" spans="13:13" ht="18.899999999999999" customHeight="1" x14ac:dyDescent="0.35">
      <c r="M1816" s="22"/>
    </row>
    <row r="1817" spans="13:13" ht="18.899999999999999" customHeight="1" x14ac:dyDescent="0.35">
      <c r="M1817" s="22"/>
    </row>
    <row r="1818" spans="13:13" ht="18.899999999999999" customHeight="1" x14ac:dyDescent="0.35">
      <c r="M1818" s="22"/>
    </row>
    <row r="1819" spans="13:13" ht="18.899999999999999" customHeight="1" x14ac:dyDescent="0.35">
      <c r="M1819" s="22"/>
    </row>
    <row r="1820" spans="13:13" ht="18.899999999999999" customHeight="1" x14ac:dyDescent="0.35">
      <c r="M1820" s="22"/>
    </row>
    <row r="1821" spans="13:13" ht="18.899999999999999" customHeight="1" x14ac:dyDescent="0.35">
      <c r="M1821" s="22"/>
    </row>
    <row r="1822" spans="13:13" ht="18.899999999999999" customHeight="1" x14ac:dyDescent="0.35">
      <c r="M1822" s="22"/>
    </row>
    <row r="1823" spans="13:13" ht="18.899999999999999" customHeight="1" x14ac:dyDescent="0.35">
      <c r="M1823" s="22"/>
    </row>
    <row r="1824" spans="13:13" ht="18.899999999999999" customHeight="1" x14ac:dyDescent="0.35">
      <c r="M1824" s="22"/>
    </row>
    <row r="1825" spans="13:13" ht="18.899999999999999" customHeight="1" x14ac:dyDescent="0.35">
      <c r="M1825" s="22"/>
    </row>
    <row r="1826" spans="13:13" ht="18.899999999999999" customHeight="1" x14ac:dyDescent="0.35">
      <c r="M1826" s="22"/>
    </row>
    <row r="1827" spans="13:13" ht="18.899999999999999" customHeight="1" x14ac:dyDescent="0.35">
      <c r="M1827" s="22"/>
    </row>
    <row r="1828" spans="13:13" ht="18.899999999999999" customHeight="1" x14ac:dyDescent="0.35">
      <c r="M1828" s="22"/>
    </row>
    <row r="1829" spans="13:13" ht="18.899999999999999" customHeight="1" x14ac:dyDescent="0.35">
      <c r="M1829" s="22"/>
    </row>
    <row r="1830" spans="13:13" ht="18.899999999999999" customHeight="1" x14ac:dyDescent="0.35">
      <c r="M1830" s="22"/>
    </row>
    <row r="1831" spans="13:13" ht="18.899999999999999" customHeight="1" x14ac:dyDescent="0.35">
      <c r="M1831" s="22"/>
    </row>
    <row r="1832" spans="13:13" ht="18.899999999999999" customHeight="1" x14ac:dyDescent="0.35">
      <c r="M1832" s="22"/>
    </row>
    <row r="1833" spans="13:13" ht="18.899999999999999" customHeight="1" x14ac:dyDescent="0.35">
      <c r="M1833" s="22"/>
    </row>
    <row r="1834" spans="13:13" ht="18.899999999999999" customHeight="1" x14ac:dyDescent="0.35">
      <c r="M1834" s="22"/>
    </row>
    <row r="1835" spans="13:13" ht="18.899999999999999" customHeight="1" x14ac:dyDescent="0.35">
      <c r="M1835" s="22"/>
    </row>
    <row r="1836" spans="13:13" ht="18.899999999999999" customHeight="1" x14ac:dyDescent="0.35">
      <c r="M1836" s="22"/>
    </row>
    <row r="1837" spans="13:13" ht="18.899999999999999" customHeight="1" x14ac:dyDescent="0.35">
      <c r="M1837" s="22"/>
    </row>
    <row r="1838" spans="13:13" ht="18.899999999999999" customHeight="1" x14ac:dyDescent="0.35">
      <c r="M1838" s="22"/>
    </row>
    <row r="1839" spans="13:13" ht="18.899999999999999" customHeight="1" x14ac:dyDescent="0.35">
      <c r="M1839" s="22"/>
    </row>
    <row r="1840" spans="13:13" ht="18.899999999999999" customHeight="1" x14ac:dyDescent="0.35">
      <c r="M1840" s="22"/>
    </row>
    <row r="1841" spans="13:13" ht="18.899999999999999" customHeight="1" x14ac:dyDescent="0.35">
      <c r="M1841" s="22"/>
    </row>
    <row r="1842" spans="13:13" ht="18.899999999999999" customHeight="1" x14ac:dyDescent="0.35">
      <c r="M1842" s="22"/>
    </row>
    <row r="1843" spans="13:13" ht="18.899999999999999" customHeight="1" x14ac:dyDescent="0.35">
      <c r="M1843" s="22"/>
    </row>
    <row r="1844" spans="13:13" ht="18.899999999999999" customHeight="1" x14ac:dyDescent="0.35">
      <c r="M1844" s="22"/>
    </row>
    <row r="1845" spans="13:13" ht="18.899999999999999" customHeight="1" x14ac:dyDescent="0.35">
      <c r="M1845" s="22"/>
    </row>
    <row r="1846" spans="13:13" ht="18.899999999999999" customHeight="1" x14ac:dyDescent="0.35">
      <c r="M1846" s="22"/>
    </row>
    <row r="1847" spans="13:13" ht="18.899999999999999" customHeight="1" x14ac:dyDescent="0.35">
      <c r="M1847" s="22"/>
    </row>
    <row r="1848" spans="13:13" ht="18.899999999999999" customHeight="1" x14ac:dyDescent="0.35">
      <c r="M1848" s="22"/>
    </row>
    <row r="1849" spans="13:13" ht="18.899999999999999" customHeight="1" x14ac:dyDescent="0.35">
      <c r="M1849" s="22"/>
    </row>
    <row r="1850" spans="13:13" ht="18.899999999999999" customHeight="1" x14ac:dyDescent="0.35">
      <c r="M1850" s="22"/>
    </row>
    <row r="1851" spans="13:13" ht="18.899999999999999" customHeight="1" x14ac:dyDescent="0.35">
      <c r="M1851" s="22"/>
    </row>
    <row r="1852" spans="13:13" ht="18.899999999999999" customHeight="1" x14ac:dyDescent="0.35">
      <c r="M1852" s="22"/>
    </row>
    <row r="1853" spans="13:13" ht="18.899999999999999" customHeight="1" x14ac:dyDescent="0.35">
      <c r="M1853" s="22"/>
    </row>
    <row r="1854" spans="13:13" ht="18.899999999999999" customHeight="1" x14ac:dyDescent="0.35">
      <c r="M1854" s="22"/>
    </row>
    <row r="1855" spans="13:13" ht="18.899999999999999" customHeight="1" x14ac:dyDescent="0.35">
      <c r="M1855" s="22"/>
    </row>
    <row r="1856" spans="13:13" ht="18.899999999999999" customHeight="1" x14ac:dyDescent="0.35">
      <c r="M1856" s="22"/>
    </row>
    <row r="1857" spans="13:13" ht="18.899999999999999" customHeight="1" x14ac:dyDescent="0.35">
      <c r="M1857" s="22"/>
    </row>
    <row r="1858" spans="13:13" ht="18.899999999999999" customHeight="1" x14ac:dyDescent="0.35">
      <c r="M1858" s="22"/>
    </row>
    <row r="1859" spans="13:13" ht="18.899999999999999" customHeight="1" x14ac:dyDescent="0.35">
      <c r="M1859" s="22"/>
    </row>
    <row r="1860" spans="13:13" ht="18.899999999999999" customHeight="1" x14ac:dyDescent="0.35">
      <c r="M1860" s="22"/>
    </row>
    <row r="1861" spans="13:13" ht="18.899999999999999" customHeight="1" x14ac:dyDescent="0.35">
      <c r="M1861" s="22"/>
    </row>
    <row r="1862" spans="13:13" ht="18.899999999999999" customHeight="1" x14ac:dyDescent="0.35">
      <c r="M1862" s="22"/>
    </row>
    <row r="1863" spans="13:13" ht="18.899999999999999" customHeight="1" x14ac:dyDescent="0.35">
      <c r="M1863" s="22"/>
    </row>
    <row r="1864" spans="13:13" ht="18.899999999999999" customHeight="1" x14ac:dyDescent="0.35">
      <c r="M1864" s="22"/>
    </row>
    <row r="1865" spans="13:13" ht="18.899999999999999" customHeight="1" x14ac:dyDescent="0.35">
      <c r="M1865" s="22"/>
    </row>
    <row r="1866" spans="13:13" ht="18.899999999999999" customHeight="1" x14ac:dyDescent="0.35">
      <c r="M1866" s="22"/>
    </row>
    <row r="1867" spans="13:13" ht="18.899999999999999" customHeight="1" x14ac:dyDescent="0.35">
      <c r="M1867" s="22"/>
    </row>
    <row r="1868" spans="13:13" ht="18.899999999999999" customHeight="1" x14ac:dyDescent="0.35">
      <c r="M1868" s="22"/>
    </row>
    <row r="1869" spans="13:13" ht="18.899999999999999" customHeight="1" x14ac:dyDescent="0.35">
      <c r="M1869" s="22"/>
    </row>
    <row r="1870" spans="13:13" ht="18.899999999999999" customHeight="1" x14ac:dyDescent="0.35">
      <c r="M1870" s="22"/>
    </row>
    <row r="1871" spans="13:13" ht="18.899999999999999" customHeight="1" x14ac:dyDescent="0.35">
      <c r="M1871" s="22"/>
    </row>
    <row r="1872" spans="13:13" ht="18.899999999999999" customHeight="1" x14ac:dyDescent="0.35">
      <c r="M1872" s="22"/>
    </row>
    <row r="1873" spans="13:13" ht="18.899999999999999" customHeight="1" x14ac:dyDescent="0.35">
      <c r="M1873" s="22"/>
    </row>
    <row r="1874" spans="13:13" ht="18.899999999999999" customHeight="1" x14ac:dyDescent="0.35">
      <c r="M1874" s="22"/>
    </row>
    <row r="1875" spans="13:13" ht="18.899999999999999" customHeight="1" x14ac:dyDescent="0.35">
      <c r="M1875" s="22"/>
    </row>
    <row r="1876" spans="13:13" ht="18.899999999999999" customHeight="1" x14ac:dyDescent="0.35">
      <c r="M1876" s="22"/>
    </row>
    <row r="1877" spans="13:13" ht="18.899999999999999" customHeight="1" x14ac:dyDescent="0.35">
      <c r="M1877" s="22"/>
    </row>
    <row r="1878" spans="13:13" ht="18.899999999999999" customHeight="1" x14ac:dyDescent="0.35">
      <c r="M1878" s="22"/>
    </row>
    <row r="1879" spans="13:13" ht="18.899999999999999" customHeight="1" x14ac:dyDescent="0.35">
      <c r="M1879" s="22"/>
    </row>
    <row r="1880" spans="13:13" ht="18.899999999999999" customHeight="1" x14ac:dyDescent="0.35">
      <c r="M1880" s="22"/>
    </row>
    <row r="1881" spans="13:13" ht="18.899999999999999" customHeight="1" x14ac:dyDescent="0.35">
      <c r="M1881" s="22"/>
    </row>
    <row r="1882" spans="13:13" ht="18.899999999999999" customHeight="1" x14ac:dyDescent="0.35">
      <c r="M1882" s="22"/>
    </row>
    <row r="1883" spans="13:13" ht="18.899999999999999" customHeight="1" x14ac:dyDescent="0.35">
      <c r="M1883" s="22"/>
    </row>
    <row r="1884" spans="13:13" ht="18.899999999999999" customHeight="1" x14ac:dyDescent="0.35">
      <c r="M1884" s="22"/>
    </row>
    <row r="1885" spans="13:13" ht="18.899999999999999" customHeight="1" x14ac:dyDescent="0.35">
      <c r="M1885" s="22"/>
    </row>
    <row r="1886" spans="13:13" ht="18.899999999999999" customHeight="1" x14ac:dyDescent="0.35">
      <c r="M1886" s="22"/>
    </row>
    <row r="1887" spans="13:13" ht="18.899999999999999" customHeight="1" x14ac:dyDescent="0.35">
      <c r="M1887" s="22"/>
    </row>
    <row r="1888" spans="13:13" ht="18.899999999999999" customHeight="1" x14ac:dyDescent="0.35">
      <c r="M1888" s="22"/>
    </row>
    <row r="1889" spans="13:13" ht="18.899999999999999" customHeight="1" x14ac:dyDescent="0.35">
      <c r="M1889" s="22"/>
    </row>
    <row r="1890" spans="13:13" ht="18.899999999999999" customHeight="1" x14ac:dyDescent="0.35">
      <c r="M1890" s="22"/>
    </row>
    <row r="1891" spans="13:13" ht="18.899999999999999" customHeight="1" x14ac:dyDescent="0.35">
      <c r="M1891" s="22"/>
    </row>
    <row r="1892" spans="13:13" ht="18.899999999999999" customHeight="1" x14ac:dyDescent="0.35">
      <c r="M1892" s="22"/>
    </row>
    <row r="1893" spans="13:13" ht="18.899999999999999" customHeight="1" x14ac:dyDescent="0.35">
      <c r="M1893" s="22"/>
    </row>
    <row r="1894" spans="13:13" ht="18.899999999999999" customHeight="1" x14ac:dyDescent="0.35">
      <c r="M1894" s="22"/>
    </row>
    <row r="1895" spans="13:13" ht="18.899999999999999" customHeight="1" x14ac:dyDescent="0.35">
      <c r="M1895" s="22"/>
    </row>
    <row r="1896" spans="13:13" ht="18.899999999999999" customHeight="1" x14ac:dyDescent="0.35">
      <c r="M1896" s="22"/>
    </row>
    <row r="1897" spans="13:13" ht="18.899999999999999" customHeight="1" x14ac:dyDescent="0.35">
      <c r="M1897" s="22"/>
    </row>
    <row r="1898" spans="13:13" ht="18.899999999999999" customHeight="1" x14ac:dyDescent="0.35">
      <c r="M1898" s="22"/>
    </row>
    <row r="1899" spans="13:13" ht="18.899999999999999" customHeight="1" x14ac:dyDescent="0.35">
      <c r="M1899" s="22"/>
    </row>
    <row r="1900" spans="13:13" ht="18.899999999999999" customHeight="1" x14ac:dyDescent="0.35">
      <c r="M1900" s="22"/>
    </row>
    <row r="1901" spans="13:13" ht="18.899999999999999" customHeight="1" x14ac:dyDescent="0.35">
      <c r="M1901" s="22"/>
    </row>
    <row r="1902" spans="13:13" ht="18.899999999999999" customHeight="1" x14ac:dyDescent="0.35">
      <c r="M1902" s="22"/>
    </row>
    <row r="1903" spans="13:13" ht="18.899999999999999" customHeight="1" x14ac:dyDescent="0.35">
      <c r="M1903" s="22"/>
    </row>
    <row r="1904" spans="13:13" ht="18.899999999999999" customHeight="1" x14ac:dyDescent="0.35">
      <c r="M1904" s="22"/>
    </row>
    <row r="1905" spans="13:13" ht="18.899999999999999" customHeight="1" x14ac:dyDescent="0.35">
      <c r="M1905" s="22"/>
    </row>
    <row r="1906" spans="13:13" ht="18.899999999999999" customHeight="1" x14ac:dyDescent="0.35">
      <c r="M1906" s="22"/>
    </row>
    <row r="1907" spans="13:13" ht="18.899999999999999" customHeight="1" x14ac:dyDescent="0.35">
      <c r="M1907" s="22"/>
    </row>
    <row r="1908" spans="13:13" ht="18.899999999999999" customHeight="1" x14ac:dyDescent="0.35">
      <c r="M1908" s="22"/>
    </row>
    <row r="1909" spans="13:13" ht="18.899999999999999" customHeight="1" x14ac:dyDescent="0.35">
      <c r="M1909" s="22"/>
    </row>
    <row r="1910" spans="13:13" ht="18.899999999999999" customHeight="1" x14ac:dyDescent="0.35">
      <c r="M1910" s="22"/>
    </row>
    <row r="1911" spans="13:13" ht="18.899999999999999" customHeight="1" x14ac:dyDescent="0.35">
      <c r="M1911" s="22"/>
    </row>
    <row r="1912" spans="13:13" ht="18.899999999999999" customHeight="1" x14ac:dyDescent="0.35">
      <c r="M1912" s="22"/>
    </row>
    <row r="1913" spans="13:13" ht="18.899999999999999" customHeight="1" x14ac:dyDescent="0.35">
      <c r="M1913" s="22"/>
    </row>
    <row r="1914" spans="13:13" ht="18.899999999999999" customHeight="1" x14ac:dyDescent="0.35">
      <c r="M1914" s="22"/>
    </row>
    <row r="1915" spans="13:13" ht="18.899999999999999" customHeight="1" x14ac:dyDescent="0.35">
      <c r="M1915" s="22"/>
    </row>
    <row r="1916" spans="13:13" ht="18.899999999999999" customHeight="1" x14ac:dyDescent="0.35">
      <c r="M1916" s="22"/>
    </row>
    <row r="1917" spans="13:13" ht="18.899999999999999" customHeight="1" x14ac:dyDescent="0.35">
      <c r="M1917" s="22"/>
    </row>
    <row r="1918" spans="13:13" ht="18.899999999999999" customHeight="1" x14ac:dyDescent="0.35">
      <c r="M1918" s="22"/>
    </row>
    <row r="1919" spans="13:13" ht="18.899999999999999" customHeight="1" x14ac:dyDescent="0.35">
      <c r="M1919" s="22"/>
    </row>
    <row r="1920" spans="13:13" ht="18.899999999999999" customHeight="1" x14ac:dyDescent="0.35">
      <c r="M1920" s="22"/>
    </row>
    <row r="1921" spans="13:13" ht="18.899999999999999" customHeight="1" x14ac:dyDescent="0.35">
      <c r="M1921" s="22"/>
    </row>
    <row r="1922" spans="13:13" ht="18.899999999999999" customHeight="1" x14ac:dyDescent="0.35">
      <c r="M1922" s="22"/>
    </row>
    <row r="1923" spans="13:13" ht="18.899999999999999" customHeight="1" x14ac:dyDescent="0.35">
      <c r="M1923" s="22"/>
    </row>
    <row r="1924" spans="13:13" ht="18.899999999999999" customHeight="1" x14ac:dyDescent="0.35">
      <c r="M1924" s="22"/>
    </row>
    <row r="1925" spans="13:13" ht="18.899999999999999" customHeight="1" x14ac:dyDescent="0.35">
      <c r="M1925" s="22"/>
    </row>
    <row r="1926" spans="13:13" ht="18.899999999999999" customHeight="1" x14ac:dyDescent="0.35">
      <c r="M1926" s="22"/>
    </row>
    <row r="1927" spans="13:13" ht="18.899999999999999" customHeight="1" x14ac:dyDescent="0.35">
      <c r="M1927" s="22"/>
    </row>
    <row r="1928" spans="13:13" ht="18.899999999999999" customHeight="1" x14ac:dyDescent="0.35">
      <c r="M1928" s="22"/>
    </row>
    <row r="1929" spans="13:13" ht="18.899999999999999" customHeight="1" x14ac:dyDescent="0.35">
      <c r="M1929" s="22"/>
    </row>
    <row r="1930" spans="13:13" ht="18.899999999999999" customHeight="1" x14ac:dyDescent="0.35">
      <c r="M1930" s="22"/>
    </row>
    <row r="1931" spans="13:13" ht="18.899999999999999" customHeight="1" x14ac:dyDescent="0.35">
      <c r="M1931" s="22"/>
    </row>
    <row r="1932" spans="13:13" ht="18.899999999999999" customHeight="1" x14ac:dyDescent="0.35">
      <c r="M1932" s="22"/>
    </row>
    <row r="1933" spans="13:13" ht="18.899999999999999" customHeight="1" x14ac:dyDescent="0.35">
      <c r="M1933" s="22"/>
    </row>
    <row r="1934" spans="13:13" ht="18.899999999999999" customHeight="1" x14ac:dyDescent="0.35">
      <c r="M1934" s="22"/>
    </row>
    <row r="1935" spans="13:13" ht="18.899999999999999" customHeight="1" x14ac:dyDescent="0.35">
      <c r="M1935" s="22"/>
    </row>
    <row r="1936" spans="13:13" ht="18.899999999999999" customHeight="1" x14ac:dyDescent="0.35">
      <c r="M1936" s="22"/>
    </row>
    <row r="1937" spans="13:13" ht="18.899999999999999" customHeight="1" x14ac:dyDescent="0.35">
      <c r="M1937" s="22"/>
    </row>
    <row r="1938" spans="13:13" ht="18.899999999999999" customHeight="1" x14ac:dyDescent="0.35">
      <c r="M1938" s="22"/>
    </row>
    <row r="1939" spans="13:13" ht="18.899999999999999" customHeight="1" x14ac:dyDescent="0.35">
      <c r="M1939" s="22"/>
    </row>
    <row r="1940" spans="13:13" ht="18.899999999999999" customHeight="1" x14ac:dyDescent="0.35">
      <c r="M1940" s="22"/>
    </row>
    <row r="1941" spans="13:13" ht="18.899999999999999" customHeight="1" x14ac:dyDescent="0.35">
      <c r="M1941" s="22"/>
    </row>
    <row r="1942" spans="13:13" ht="18.899999999999999" customHeight="1" x14ac:dyDescent="0.35">
      <c r="M1942" s="22"/>
    </row>
    <row r="1943" spans="13:13" ht="18.899999999999999" customHeight="1" x14ac:dyDescent="0.35">
      <c r="M1943" s="22"/>
    </row>
    <row r="1944" spans="13:13" ht="18.899999999999999" customHeight="1" x14ac:dyDescent="0.35">
      <c r="M1944" s="22"/>
    </row>
    <row r="1945" spans="13:13" ht="18.899999999999999" customHeight="1" x14ac:dyDescent="0.35">
      <c r="M1945" s="22"/>
    </row>
    <row r="1946" spans="13:13" ht="18.899999999999999" customHeight="1" x14ac:dyDescent="0.35">
      <c r="M1946" s="22"/>
    </row>
    <row r="1947" spans="13:13" ht="18.899999999999999" customHeight="1" x14ac:dyDescent="0.35">
      <c r="M1947" s="22"/>
    </row>
    <row r="1948" spans="13:13" ht="18.899999999999999" customHeight="1" x14ac:dyDescent="0.35">
      <c r="M1948" s="22"/>
    </row>
    <row r="1949" spans="13:13" ht="18.899999999999999" customHeight="1" x14ac:dyDescent="0.35">
      <c r="M1949" s="22"/>
    </row>
    <row r="1950" spans="13:13" ht="18.899999999999999" customHeight="1" x14ac:dyDescent="0.35">
      <c r="M1950" s="22"/>
    </row>
    <row r="1951" spans="13:13" ht="18.899999999999999" customHeight="1" x14ac:dyDescent="0.35">
      <c r="M1951" s="22"/>
    </row>
    <row r="1952" spans="13:13" ht="18.899999999999999" customHeight="1" x14ac:dyDescent="0.35">
      <c r="M1952" s="22"/>
    </row>
    <row r="1953" spans="13:13" ht="18.899999999999999" customHeight="1" x14ac:dyDescent="0.35">
      <c r="M1953" s="22"/>
    </row>
    <row r="1954" spans="13:13" ht="18.899999999999999" customHeight="1" x14ac:dyDescent="0.35">
      <c r="M1954" s="22"/>
    </row>
    <row r="1955" spans="13:13" ht="18.899999999999999" customHeight="1" x14ac:dyDescent="0.35">
      <c r="M1955" s="22"/>
    </row>
    <row r="1956" spans="13:13" ht="18.899999999999999" customHeight="1" x14ac:dyDescent="0.35">
      <c r="M1956" s="22"/>
    </row>
    <row r="1957" spans="13:13" ht="18.899999999999999" customHeight="1" x14ac:dyDescent="0.35">
      <c r="M1957" s="22"/>
    </row>
    <row r="1958" spans="13:13" ht="18.899999999999999" customHeight="1" x14ac:dyDescent="0.35">
      <c r="M1958" s="22"/>
    </row>
    <row r="1959" spans="13:13" ht="18.899999999999999" customHeight="1" x14ac:dyDescent="0.35">
      <c r="M1959" s="22"/>
    </row>
    <row r="1960" spans="13:13" ht="18.899999999999999" customHeight="1" x14ac:dyDescent="0.35">
      <c r="M1960" s="22"/>
    </row>
    <row r="1961" spans="13:13" ht="18.899999999999999" customHeight="1" x14ac:dyDescent="0.35">
      <c r="M1961" s="22"/>
    </row>
    <row r="1962" spans="13:13" ht="18.899999999999999" customHeight="1" x14ac:dyDescent="0.35">
      <c r="M1962" s="22"/>
    </row>
    <row r="1963" spans="13:13" ht="18.899999999999999" customHeight="1" x14ac:dyDescent="0.35">
      <c r="M1963" s="22"/>
    </row>
    <row r="1964" spans="13:13" ht="18.899999999999999" customHeight="1" x14ac:dyDescent="0.35">
      <c r="M1964" s="22"/>
    </row>
    <row r="1965" spans="13:13" ht="18.899999999999999" customHeight="1" x14ac:dyDescent="0.35">
      <c r="M1965" s="22"/>
    </row>
    <row r="1966" spans="13:13" ht="18.899999999999999" customHeight="1" x14ac:dyDescent="0.35">
      <c r="M1966" s="22"/>
    </row>
    <row r="1967" spans="13:13" ht="18.899999999999999" customHeight="1" x14ac:dyDescent="0.35">
      <c r="M1967" s="22"/>
    </row>
    <row r="1968" spans="13:13" ht="18.899999999999999" customHeight="1" x14ac:dyDescent="0.35">
      <c r="M1968" s="22"/>
    </row>
    <row r="1969" spans="13:13" ht="18.899999999999999" customHeight="1" x14ac:dyDescent="0.35">
      <c r="M1969" s="22"/>
    </row>
    <row r="1970" spans="13:13" ht="18.899999999999999" customHeight="1" x14ac:dyDescent="0.35">
      <c r="M1970" s="22"/>
    </row>
    <row r="1971" spans="13:13" ht="18.899999999999999" customHeight="1" x14ac:dyDescent="0.35">
      <c r="M1971" s="22"/>
    </row>
    <row r="1972" spans="13:13" ht="18.899999999999999" customHeight="1" x14ac:dyDescent="0.35">
      <c r="M1972" s="22"/>
    </row>
    <row r="1973" spans="13:13" ht="18.899999999999999" customHeight="1" x14ac:dyDescent="0.35">
      <c r="M1973" s="22"/>
    </row>
    <row r="1974" spans="13:13" ht="18.899999999999999" customHeight="1" x14ac:dyDescent="0.35">
      <c r="M1974" s="22"/>
    </row>
    <row r="1975" spans="13:13" ht="18.899999999999999" customHeight="1" x14ac:dyDescent="0.35">
      <c r="M1975" s="22"/>
    </row>
    <row r="1976" spans="13:13" ht="18.899999999999999" customHeight="1" x14ac:dyDescent="0.35">
      <c r="M1976" s="22"/>
    </row>
    <row r="1977" spans="13:13" ht="18.899999999999999" customHeight="1" x14ac:dyDescent="0.35">
      <c r="M1977" s="22"/>
    </row>
    <row r="1978" spans="13:13" ht="18.899999999999999" customHeight="1" x14ac:dyDescent="0.35">
      <c r="M1978" s="22"/>
    </row>
    <row r="1979" spans="13:13" ht="18.899999999999999" customHeight="1" x14ac:dyDescent="0.35">
      <c r="M1979" s="22"/>
    </row>
    <row r="1980" spans="13:13" ht="18.899999999999999" customHeight="1" x14ac:dyDescent="0.35">
      <c r="M1980" s="22"/>
    </row>
    <row r="1981" spans="13:13" ht="18.899999999999999" customHeight="1" x14ac:dyDescent="0.35">
      <c r="M1981" s="22"/>
    </row>
    <row r="1982" spans="13:13" ht="18.899999999999999" customHeight="1" x14ac:dyDescent="0.35">
      <c r="M1982" s="22"/>
    </row>
    <row r="1983" spans="13:13" ht="18.899999999999999" customHeight="1" x14ac:dyDescent="0.35">
      <c r="M1983" s="22"/>
    </row>
    <row r="1984" spans="13:13" ht="18.899999999999999" customHeight="1" x14ac:dyDescent="0.35">
      <c r="M1984" s="22"/>
    </row>
    <row r="1985" spans="13:13" ht="18.899999999999999" customHeight="1" x14ac:dyDescent="0.35">
      <c r="M1985" s="22"/>
    </row>
    <row r="1986" spans="13:13" ht="18.899999999999999" customHeight="1" x14ac:dyDescent="0.35">
      <c r="M1986" s="22"/>
    </row>
    <row r="1987" spans="13:13" ht="18.899999999999999" customHeight="1" x14ac:dyDescent="0.35">
      <c r="M1987" s="22"/>
    </row>
    <row r="1988" spans="13:13" ht="18.899999999999999" customHeight="1" x14ac:dyDescent="0.35">
      <c r="M1988" s="22"/>
    </row>
    <row r="1989" spans="13:13" ht="18.899999999999999" customHeight="1" x14ac:dyDescent="0.35">
      <c r="M1989" s="22"/>
    </row>
    <row r="1990" spans="13:13" ht="18.899999999999999" customHeight="1" x14ac:dyDescent="0.35">
      <c r="M1990" s="22"/>
    </row>
    <row r="1991" spans="13:13" ht="18.899999999999999" customHeight="1" x14ac:dyDescent="0.35">
      <c r="M1991" s="22"/>
    </row>
    <row r="1992" spans="13:13" ht="18.899999999999999" customHeight="1" x14ac:dyDescent="0.35">
      <c r="M1992" s="22"/>
    </row>
    <row r="1993" spans="13:13" ht="18.899999999999999" customHeight="1" x14ac:dyDescent="0.35">
      <c r="M1993" s="22"/>
    </row>
    <row r="1994" spans="13:13" ht="18.899999999999999" customHeight="1" x14ac:dyDescent="0.35">
      <c r="M1994" s="22"/>
    </row>
    <row r="1995" spans="13:13" ht="18.899999999999999" customHeight="1" x14ac:dyDescent="0.35">
      <c r="M1995" s="22"/>
    </row>
    <row r="1996" spans="13:13" ht="18.899999999999999" customHeight="1" x14ac:dyDescent="0.35">
      <c r="M1996" s="22"/>
    </row>
    <row r="1997" spans="13:13" ht="18.899999999999999" customHeight="1" x14ac:dyDescent="0.35">
      <c r="M1997" s="22"/>
    </row>
    <row r="1998" spans="13:13" ht="18.899999999999999" customHeight="1" x14ac:dyDescent="0.35">
      <c r="M1998" s="22"/>
    </row>
    <row r="1999" spans="13:13" ht="18.899999999999999" customHeight="1" x14ac:dyDescent="0.35">
      <c r="M1999" s="22"/>
    </row>
    <row r="2000" spans="13:13" ht="18.899999999999999" customHeight="1" x14ac:dyDescent="0.35">
      <c r="M2000" s="22"/>
    </row>
    <row r="2001" spans="13:13" ht="18.899999999999999" customHeight="1" x14ac:dyDescent="0.35">
      <c r="M2001" s="22"/>
    </row>
    <row r="2002" spans="13:13" ht="18.899999999999999" customHeight="1" x14ac:dyDescent="0.35">
      <c r="M2002" s="22"/>
    </row>
    <row r="2003" spans="13:13" ht="18.899999999999999" customHeight="1" x14ac:dyDescent="0.35">
      <c r="M2003" s="22"/>
    </row>
    <row r="2004" spans="13:13" ht="18.899999999999999" customHeight="1" x14ac:dyDescent="0.35">
      <c r="M2004" s="22"/>
    </row>
    <row r="2005" spans="13:13" ht="18.899999999999999" customHeight="1" x14ac:dyDescent="0.35">
      <c r="M2005" s="22"/>
    </row>
    <row r="2006" spans="13:13" ht="18.899999999999999" customHeight="1" x14ac:dyDescent="0.35">
      <c r="M2006" s="22"/>
    </row>
    <row r="2007" spans="13:13" ht="18.899999999999999" customHeight="1" x14ac:dyDescent="0.35">
      <c r="M2007" s="22"/>
    </row>
    <row r="2008" spans="13:13" ht="18.899999999999999" customHeight="1" x14ac:dyDescent="0.35">
      <c r="M2008" s="22"/>
    </row>
    <row r="2009" spans="13:13" ht="18.899999999999999" customHeight="1" x14ac:dyDescent="0.35">
      <c r="M2009" s="22"/>
    </row>
    <row r="2010" spans="13:13" ht="18.899999999999999" customHeight="1" x14ac:dyDescent="0.35">
      <c r="M2010" s="22"/>
    </row>
    <row r="2011" spans="13:13" ht="18.899999999999999" customHeight="1" x14ac:dyDescent="0.35">
      <c r="M2011" s="22"/>
    </row>
    <row r="2012" spans="13:13" ht="18.899999999999999" customHeight="1" x14ac:dyDescent="0.35">
      <c r="M2012" s="22"/>
    </row>
    <row r="2013" spans="13:13" ht="18.899999999999999" customHeight="1" x14ac:dyDescent="0.35">
      <c r="M2013" s="22"/>
    </row>
    <row r="2014" spans="13:13" ht="18.899999999999999" customHeight="1" x14ac:dyDescent="0.35">
      <c r="M2014" s="22"/>
    </row>
    <row r="2015" spans="13:13" ht="18.899999999999999" customHeight="1" x14ac:dyDescent="0.35">
      <c r="M2015" s="22"/>
    </row>
    <row r="2016" spans="13:13" ht="18.899999999999999" customHeight="1" x14ac:dyDescent="0.35">
      <c r="M2016" s="22"/>
    </row>
    <row r="2017" spans="13:13" ht="18.899999999999999" customHeight="1" x14ac:dyDescent="0.35">
      <c r="M2017" s="22"/>
    </row>
    <row r="2018" spans="13:13" ht="18.899999999999999" customHeight="1" x14ac:dyDescent="0.35">
      <c r="M2018" s="22"/>
    </row>
    <row r="2019" spans="13:13" ht="18.899999999999999" customHeight="1" x14ac:dyDescent="0.35">
      <c r="M2019" s="22"/>
    </row>
    <row r="2020" spans="13:13" ht="18.899999999999999" customHeight="1" x14ac:dyDescent="0.35">
      <c r="M2020" s="22"/>
    </row>
    <row r="2021" spans="13:13" ht="18.899999999999999" customHeight="1" x14ac:dyDescent="0.35">
      <c r="M2021" s="22"/>
    </row>
    <row r="2022" spans="13:13" ht="18.899999999999999" customHeight="1" x14ac:dyDescent="0.35">
      <c r="M2022" s="22"/>
    </row>
    <row r="2023" spans="13:13" ht="18.899999999999999" customHeight="1" x14ac:dyDescent="0.35">
      <c r="M2023" s="22"/>
    </row>
    <row r="2024" spans="13:13" ht="18.899999999999999" customHeight="1" x14ac:dyDescent="0.35">
      <c r="M2024" s="22"/>
    </row>
    <row r="2025" spans="13:13" ht="18.899999999999999" customHeight="1" x14ac:dyDescent="0.35">
      <c r="M2025" s="22"/>
    </row>
    <row r="2026" spans="13:13" ht="18.899999999999999" customHeight="1" x14ac:dyDescent="0.35">
      <c r="M2026" s="22"/>
    </row>
    <row r="2027" spans="13:13" ht="18.899999999999999" customHeight="1" x14ac:dyDescent="0.35">
      <c r="M2027" s="22"/>
    </row>
    <row r="2028" spans="13:13" ht="18.899999999999999" customHeight="1" x14ac:dyDescent="0.35">
      <c r="M2028" s="22"/>
    </row>
    <row r="2029" spans="13:13" ht="18.899999999999999" customHeight="1" x14ac:dyDescent="0.35">
      <c r="M2029" s="22"/>
    </row>
    <row r="2030" spans="13:13" ht="18.899999999999999" customHeight="1" x14ac:dyDescent="0.35">
      <c r="M2030" s="22"/>
    </row>
    <row r="2031" spans="13:13" ht="18.899999999999999" customHeight="1" x14ac:dyDescent="0.35">
      <c r="M2031" s="22"/>
    </row>
    <row r="2032" spans="13:13" ht="18.899999999999999" customHeight="1" x14ac:dyDescent="0.35">
      <c r="M2032" s="22"/>
    </row>
    <row r="2033" spans="13:13" ht="18.899999999999999" customHeight="1" x14ac:dyDescent="0.35">
      <c r="M2033" s="22"/>
    </row>
    <row r="2034" spans="13:13" ht="18.899999999999999" customHeight="1" x14ac:dyDescent="0.35">
      <c r="M2034" s="22"/>
    </row>
    <row r="2035" spans="13:13" ht="18.899999999999999" customHeight="1" x14ac:dyDescent="0.35">
      <c r="M2035" s="22"/>
    </row>
    <row r="2036" spans="13:13" ht="18.899999999999999" customHeight="1" x14ac:dyDescent="0.35">
      <c r="M2036" s="22"/>
    </row>
    <row r="2037" spans="13:13" ht="18.899999999999999" customHeight="1" x14ac:dyDescent="0.35">
      <c r="M2037" s="22"/>
    </row>
    <row r="2038" spans="13:13" ht="18.899999999999999" customHeight="1" x14ac:dyDescent="0.35">
      <c r="M2038" s="22"/>
    </row>
    <row r="2039" spans="13:13" ht="18.899999999999999" customHeight="1" x14ac:dyDescent="0.35">
      <c r="M2039" s="22"/>
    </row>
    <row r="2040" spans="13:13" ht="18.899999999999999" customHeight="1" x14ac:dyDescent="0.35">
      <c r="M2040" s="22"/>
    </row>
    <row r="2041" spans="13:13" ht="18.899999999999999" customHeight="1" x14ac:dyDescent="0.35">
      <c r="M2041" s="22"/>
    </row>
    <row r="2042" spans="13:13" ht="18.899999999999999" customHeight="1" x14ac:dyDescent="0.35">
      <c r="M2042" s="22"/>
    </row>
    <row r="2043" spans="13:13" ht="18.899999999999999" customHeight="1" x14ac:dyDescent="0.35">
      <c r="M2043" s="22"/>
    </row>
    <row r="2044" spans="13:13" ht="18.899999999999999" customHeight="1" x14ac:dyDescent="0.35">
      <c r="M2044" s="22"/>
    </row>
    <row r="2045" spans="13:13" ht="18.899999999999999" customHeight="1" x14ac:dyDescent="0.35">
      <c r="M2045" s="22"/>
    </row>
    <row r="2046" spans="13:13" ht="18.899999999999999" customHeight="1" x14ac:dyDescent="0.35">
      <c r="M2046" s="22"/>
    </row>
    <row r="2047" spans="13:13" ht="18.899999999999999" customHeight="1" x14ac:dyDescent="0.35">
      <c r="M2047" s="22"/>
    </row>
    <row r="2048" spans="13:13" ht="18.899999999999999" customHeight="1" x14ac:dyDescent="0.35">
      <c r="M2048" s="22"/>
    </row>
    <row r="2049" spans="13:13" ht="18.899999999999999" customHeight="1" x14ac:dyDescent="0.35">
      <c r="M2049" s="22"/>
    </row>
    <row r="2050" spans="13:13" ht="18.899999999999999" customHeight="1" x14ac:dyDescent="0.35">
      <c r="M2050" s="22"/>
    </row>
    <row r="2051" spans="13:13" ht="18.899999999999999" customHeight="1" x14ac:dyDescent="0.35">
      <c r="M2051" s="22"/>
    </row>
    <row r="2052" spans="13:13" ht="18.899999999999999" customHeight="1" x14ac:dyDescent="0.35">
      <c r="M2052" s="22"/>
    </row>
    <row r="2053" spans="13:13" ht="18.899999999999999" customHeight="1" x14ac:dyDescent="0.35">
      <c r="M2053" s="22"/>
    </row>
    <row r="2054" spans="13:13" ht="18.899999999999999" customHeight="1" x14ac:dyDescent="0.35">
      <c r="M2054" s="22"/>
    </row>
    <row r="2055" spans="13:13" ht="18.899999999999999" customHeight="1" x14ac:dyDescent="0.35">
      <c r="M2055" s="22"/>
    </row>
    <row r="2056" spans="13:13" ht="18.899999999999999" customHeight="1" x14ac:dyDescent="0.35">
      <c r="M2056" s="22"/>
    </row>
    <row r="2057" spans="13:13" ht="18.899999999999999" customHeight="1" x14ac:dyDescent="0.35">
      <c r="M2057" s="22"/>
    </row>
    <row r="2058" spans="13:13" ht="18.899999999999999" customHeight="1" x14ac:dyDescent="0.35">
      <c r="M2058" s="22"/>
    </row>
    <row r="2059" spans="13:13" ht="18.899999999999999" customHeight="1" x14ac:dyDescent="0.35">
      <c r="M2059" s="22"/>
    </row>
    <row r="2060" spans="13:13" ht="18.899999999999999" customHeight="1" x14ac:dyDescent="0.35">
      <c r="M2060" s="22"/>
    </row>
    <row r="2061" spans="13:13" ht="18.899999999999999" customHeight="1" x14ac:dyDescent="0.35">
      <c r="M2061" s="22"/>
    </row>
    <row r="2062" spans="13:13" ht="18.899999999999999" customHeight="1" x14ac:dyDescent="0.35">
      <c r="M2062" s="22"/>
    </row>
    <row r="2063" spans="13:13" ht="18.899999999999999" customHeight="1" x14ac:dyDescent="0.35">
      <c r="M2063" s="22"/>
    </row>
    <row r="2064" spans="13:13" ht="18.899999999999999" customHeight="1" x14ac:dyDescent="0.35">
      <c r="M2064" s="22"/>
    </row>
    <row r="2065" spans="13:13" ht="18.899999999999999" customHeight="1" x14ac:dyDescent="0.35">
      <c r="M2065" s="22"/>
    </row>
    <row r="2066" spans="13:13" ht="18.899999999999999" customHeight="1" x14ac:dyDescent="0.35">
      <c r="M2066" s="22"/>
    </row>
    <row r="2067" spans="13:13" ht="18.899999999999999" customHeight="1" x14ac:dyDescent="0.35">
      <c r="M2067" s="22"/>
    </row>
    <row r="2068" spans="13:13" ht="18.899999999999999" customHeight="1" x14ac:dyDescent="0.35">
      <c r="M2068" s="22"/>
    </row>
    <row r="2069" spans="13:13" ht="18.899999999999999" customHeight="1" x14ac:dyDescent="0.35">
      <c r="M2069" s="22"/>
    </row>
    <row r="2070" spans="13:13" ht="18.899999999999999" customHeight="1" x14ac:dyDescent="0.35">
      <c r="M2070" s="22"/>
    </row>
    <row r="2071" spans="13:13" ht="18.899999999999999" customHeight="1" x14ac:dyDescent="0.35">
      <c r="M2071" s="22"/>
    </row>
    <row r="2072" spans="13:13" ht="18.899999999999999" customHeight="1" x14ac:dyDescent="0.35">
      <c r="M2072" s="22"/>
    </row>
    <row r="2073" spans="13:13" ht="18.899999999999999" customHeight="1" x14ac:dyDescent="0.35">
      <c r="M2073" s="22"/>
    </row>
    <row r="2074" spans="13:13" ht="18.899999999999999" customHeight="1" x14ac:dyDescent="0.35">
      <c r="M2074" s="22"/>
    </row>
    <row r="2075" spans="13:13" ht="18.899999999999999" customHeight="1" x14ac:dyDescent="0.35">
      <c r="M2075" s="22"/>
    </row>
    <row r="2076" spans="13:13" ht="18.899999999999999" customHeight="1" x14ac:dyDescent="0.35">
      <c r="M2076" s="22"/>
    </row>
    <row r="2077" spans="13:13" ht="18.899999999999999" customHeight="1" x14ac:dyDescent="0.35">
      <c r="M2077" s="22"/>
    </row>
    <row r="2078" spans="13:13" ht="18.899999999999999" customHeight="1" x14ac:dyDescent="0.35">
      <c r="M2078" s="22"/>
    </row>
    <row r="2079" spans="13:13" ht="18.899999999999999" customHeight="1" x14ac:dyDescent="0.35">
      <c r="M2079" s="22"/>
    </row>
    <row r="2080" spans="13:13" ht="18.899999999999999" customHeight="1" x14ac:dyDescent="0.35">
      <c r="M2080" s="22"/>
    </row>
    <row r="2081" spans="13:13" ht="18.899999999999999" customHeight="1" x14ac:dyDescent="0.35">
      <c r="M2081" s="22"/>
    </row>
    <row r="2082" spans="13:13" ht="18.899999999999999" customHeight="1" x14ac:dyDescent="0.35">
      <c r="M2082" s="22"/>
    </row>
    <row r="2083" spans="13:13" ht="18.899999999999999" customHeight="1" x14ac:dyDescent="0.35">
      <c r="M2083" s="22"/>
    </row>
    <row r="2084" spans="13:13" ht="18.899999999999999" customHeight="1" x14ac:dyDescent="0.35">
      <c r="M2084" s="22"/>
    </row>
    <row r="2085" spans="13:13" ht="18.899999999999999" customHeight="1" x14ac:dyDescent="0.35">
      <c r="M2085" s="22"/>
    </row>
    <row r="2086" spans="13:13" ht="18.899999999999999" customHeight="1" x14ac:dyDescent="0.35">
      <c r="M2086" s="22"/>
    </row>
    <row r="2087" spans="13:13" ht="18.899999999999999" customHeight="1" x14ac:dyDescent="0.35">
      <c r="M2087" s="22"/>
    </row>
    <row r="2088" spans="13:13" ht="18.899999999999999" customHeight="1" x14ac:dyDescent="0.35">
      <c r="M2088" s="22"/>
    </row>
    <row r="2089" spans="13:13" ht="18.899999999999999" customHeight="1" x14ac:dyDescent="0.35">
      <c r="M2089" s="22"/>
    </row>
    <row r="2090" spans="13:13" ht="18.899999999999999" customHeight="1" x14ac:dyDescent="0.35">
      <c r="M2090" s="22"/>
    </row>
    <row r="2091" spans="13:13" ht="18.899999999999999" customHeight="1" x14ac:dyDescent="0.35">
      <c r="M2091" s="22"/>
    </row>
    <row r="2092" spans="13:13" ht="18.899999999999999" customHeight="1" x14ac:dyDescent="0.35">
      <c r="M2092" s="22"/>
    </row>
    <row r="2093" spans="13:13" ht="18.899999999999999" customHeight="1" x14ac:dyDescent="0.35">
      <c r="M2093" s="22"/>
    </row>
    <row r="2094" spans="13:13" ht="18.899999999999999" customHeight="1" x14ac:dyDescent="0.35">
      <c r="M2094" s="22"/>
    </row>
    <row r="2095" spans="13:13" ht="18.899999999999999" customHeight="1" x14ac:dyDescent="0.35">
      <c r="M2095" s="22"/>
    </row>
    <row r="2096" spans="13:13" ht="18.899999999999999" customHeight="1" x14ac:dyDescent="0.35">
      <c r="M2096" s="22"/>
    </row>
    <row r="2097" spans="13:13" ht="18.899999999999999" customHeight="1" x14ac:dyDescent="0.35">
      <c r="M2097" s="22"/>
    </row>
    <row r="2098" spans="13:13" ht="18.899999999999999" customHeight="1" x14ac:dyDescent="0.35">
      <c r="M2098" s="22"/>
    </row>
    <row r="2099" spans="13:13" ht="18.899999999999999" customHeight="1" x14ac:dyDescent="0.35">
      <c r="M2099" s="22"/>
    </row>
    <row r="2100" spans="13:13" ht="18.899999999999999" customHeight="1" x14ac:dyDescent="0.35">
      <c r="M2100" s="22"/>
    </row>
    <row r="2101" spans="13:13" ht="18.899999999999999" customHeight="1" x14ac:dyDescent="0.35">
      <c r="M2101" s="22"/>
    </row>
    <row r="2102" spans="13:13" ht="18.899999999999999" customHeight="1" x14ac:dyDescent="0.35">
      <c r="M2102" s="22"/>
    </row>
    <row r="2103" spans="13:13" ht="18.899999999999999" customHeight="1" x14ac:dyDescent="0.35">
      <c r="M2103" s="22"/>
    </row>
    <row r="2104" spans="13:13" ht="18.899999999999999" customHeight="1" x14ac:dyDescent="0.35">
      <c r="M2104" s="22"/>
    </row>
    <row r="2105" spans="13:13" ht="18.899999999999999" customHeight="1" x14ac:dyDescent="0.35">
      <c r="M2105" s="22"/>
    </row>
    <row r="2106" spans="13:13" ht="18.899999999999999" customHeight="1" x14ac:dyDescent="0.35">
      <c r="M2106" s="22"/>
    </row>
    <row r="2107" spans="13:13" ht="18.899999999999999" customHeight="1" x14ac:dyDescent="0.35">
      <c r="M2107" s="22"/>
    </row>
    <row r="2108" spans="13:13" ht="18.899999999999999" customHeight="1" x14ac:dyDescent="0.35">
      <c r="M2108" s="22"/>
    </row>
    <row r="2109" spans="13:13" ht="18.899999999999999" customHeight="1" x14ac:dyDescent="0.35">
      <c r="M2109" s="22"/>
    </row>
    <row r="2110" spans="13:13" ht="18.899999999999999" customHeight="1" x14ac:dyDescent="0.35">
      <c r="M2110" s="22"/>
    </row>
    <row r="2111" spans="13:13" ht="18.899999999999999" customHeight="1" x14ac:dyDescent="0.35">
      <c r="M2111" s="22"/>
    </row>
    <row r="2112" spans="13:13" ht="18.899999999999999" customHeight="1" x14ac:dyDescent="0.35">
      <c r="M2112" s="22"/>
    </row>
    <row r="2113" spans="13:13" ht="18.899999999999999" customHeight="1" x14ac:dyDescent="0.35">
      <c r="M2113" s="22"/>
    </row>
    <row r="2114" spans="13:13" ht="18.899999999999999" customHeight="1" x14ac:dyDescent="0.35">
      <c r="M2114" s="22"/>
    </row>
    <row r="2115" spans="13:13" ht="18.899999999999999" customHeight="1" x14ac:dyDescent="0.35">
      <c r="M2115" s="22"/>
    </row>
    <row r="2116" spans="13:13" ht="18.899999999999999" customHeight="1" x14ac:dyDescent="0.35">
      <c r="M2116" s="22"/>
    </row>
    <row r="2117" spans="13:13" ht="18.899999999999999" customHeight="1" x14ac:dyDescent="0.35">
      <c r="M2117" s="22"/>
    </row>
    <row r="2118" spans="13:13" ht="18.899999999999999" customHeight="1" x14ac:dyDescent="0.35">
      <c r="M2118" s="22"/>
    </row>
    <row r="2119" spans="13:13" ht="18.899999999999999" customHeight="1" x14ac:dyDescent="0.35">
      <c r="M2119" s="22"/>
    </row>
    <row r="2120" spans="13:13" ht="18.899999999999999" customHeight="1" x14ac:dyDescent="0.35">
      <c r="M2120" s="22"/>
    </row>
    <row r="2121" spans="13:13" ht="18.899999999999999" customHeight="1" x14ac:dyDescent="0.35">
      <c r="M2121" s="22"/>
    </row>
    <row r="2122" spans="13:13" ht="18.899999999999999" customHeight="1" x14ac:dyDescent="0.35">
      <c r="M2122" s="22"/>
    </row>
    <row r="2123" spans="13:13" ht="18.899999999999999" customHeight="1" x14ac:dyDescent="0.35">
      <c r="M2123" s="22"/>
    </row>
    <row r="2124" spans="13:13" ht="18.899999999999999" customHeight="1" x14ac:dyDescent="0.35">
      <c r="M2124" s="22"/>
    </row>
    <row r="2125" spans="13:13" ht="18.899999999999999" customHeight="1" x14ac:dyDescent="0.35">
      <c r="M2125" s="22"/>
    </row>
    <row r="2126" spans="13:13" ht="18.899999999999999" customHeight="1" x14ac:dyDescent="0.35">
      <c r="M2126" s="22"/>
    </row>
    <row r="2127" spans="13:13" ht="18.899999999999999" customHeight="1" x14ac:dyDescent="0.35">
      <c r="M2127" s="22"/>
    </row>
    <row r="2128" spans="13:13" ht="18.899999999999999" customHeight="1" x14ac:dyDescent="0.35">
      <c r="M2128" s="22"/>
    </row>
    <row r="2129" spans="13:13" ht="18.899999999999999" customHeight="1" x14ac:dyDescent="0.35">
      <c r="M2129" s="22"/>
    </row>
    <row r="2130" spans="13:13" ht="18.899999999999999" customHeight="1" x14ac:dyDescent="0.35">
      <c r="M2130" s="22"/>
    </row>
    <row r="2131" spans="13:13" ht="18.899999999999999" customHeight="1" x14ac:dyDescent="0.35">
      <c r="M2131" s="22"/>
    </row>
    <row r="2132" spans="13:13" ht="18.899999999999999" customHeight="1" x14ac:dyDescent="0.35">
      <c r="M2132" s="22"/>
    </row>
    <row r="2133" spans="13:13" ht="18.899999999999999" customHeight="1" x14ac:dyDescent="0.35">
      <c r="M2133" s="22"/>
    </row>
    <row r="2134" spans="13:13" ht="18.899999999999999" customHeight="1" x14ac:dyDescent="0.35">
      <c r="M2134" s="22"/>
    </row>
    <row r="2135" spans="13:13" ht="18.899999999999999" customHeight="1" x14ac:dyDescent="0.35">
      <c r="M2135" s="22"/>
    </row>
    <row r="2136" spans="13:13" ht="18.899999999999999" customHeight="1" x14ac:dyDescent="0.35">
      <c r="M2136" s="22"/>
    </row>
    <row r="2137" spans="13:13" ht="18.899999999999999" customHeight="1" x14ac:dyDescent="0.35">
      <c r="M2137" s="22"/>
    </row>
    <row r="2138" spans="13:13" ht="18.899999999999999" customHeight="1" x14ac:dyDescent="0.35">
      <c r="M2138" s="22"/>
    </row>
    <row r="2139" spans="13:13" ht="18.899999999999999" customHeight="1" x14ac:dyDescent="0.35">
      <c r="M2139" s="22"/>
    </row>
    <row r="2140" spans="13:13" ht="18.899999999999999" customHeight="1" x14ac:dyDescent="0.35">
      <c r="M2140" s="22"/>
    </row>
    <row r="2141" spans="13:13" ht="18.899999999999999" customHeight="1" x14ac:dyDescent="0.35">
      <c r="M2141" s="22"/>
    </row>
    <row r="2142" spans="13:13" ht="18.899999999999999" customHeight="1" x14ac:dyDescent="0.35">
      <c r="M2142" s="22"/>
    </row>
    <row r="2143" spans="13:13" ht="18.899999999999999" customHeight="1" x14ac:dyDescent="0.35">
      <c r="M2143" s="22"/>
    </row>
    <row r="2144" spans="13:13" ht="18.899999999999999" customHeight="1" x14ac:dyDescent="0.35">
      <c r="M2144" s="22"/>
    </row>
    <row r="2145" spans="13:13" ht="18.899999999999999" customHeight="1" x14ac:dyDescent="0.35">
      <c r="M2145" s="22"/>
    </row>
    <row r="2146" spans="13:13" ht="18.899999999999999" customHeight="1" x14ac:dyDescent="0.35">
      <c r="M2146" s="22"/>
    </row>
    <row r="2147" spans="13:13" ht="18.899999999999999" customHeight="1" x14ac:dyDescent="0.35">
      <c r="M2147" s="22"/>
    </row>
    <row r="2148" spans="13:13" ht="18.899999999999999" customHeight="1" x14ac:dyDescent="0.35">
      <c r="M2148" s="22"/>
    </row>
    <row r="2149" spans="13:13" ht="18.899999999999999" customHeight="1" x14ac:dyDescent="0.35">
      <c r="M2149" s="22"/>
    </row>
    <row r="2150" spans="13:13" ht="18.899999999999999" customHeight="1" x14ac:dyDescent="0.35">
      <c r="M2150" s="22"/>
    </row>
    <row r="2151" spans="13:13" ht="18.899999999999999" customHeight="1" x14ac:dyDescent="0.35">
      <c r="M2151" s="22"/>
    </row>
    <row r="2152" spans="13:13" ht="18.899999999999999" customHeight="1" x14ac:dyDescent="0.35">
      <c r="M2152" s="22"/>
    </row>
    <row r="2153" spans="13:13" ht="18.899999999999999" customHeight="1" x14ac:dyDescent="0.35">
      <c r="M2153" s="22"/>
    </row>
    <row r="2154" spans="13:13" ht="18.899999999999999" customHeight="1" x14ac:dyDescent="0.35">
      <c r="M2154" s="22"/>
    </row>
    <row r="2155" spans="13:13" ht="18.899999999999999" customHeight="1" x14ac:dyDescent="0.35">
      <c r="M2155" s="22"/>
    </row>
    <row r="2156" spans="13:13" ht="18.899999999999999" customHeight="1" x14ac:dyDescent="0.35">
      <c r="M2156" s="22"/>
    </row>
    <row r="2157" spans="13:13" ht="18.899999999999999" customHeight="1" x14ac:dyDescent="0.35">
      <c r="M2157" s="22"/>
    </row>
    <row r="2158" spans="13:13" ht="18.899999999999999" customHeight="1" x14ac:dyDescent="0.35">
      <c r="M2158" s="22"/>
    </row>
    <row r="2159" spans="13:13" ht="18.899999999999999" customHeight="1" x14ac:dyDescent="0.35">
      <c r="M2159" s="22"/>
    </row>
    <row r="2160" spans="13:13" ht="18.899999999999999" customHeight="1" x14ac:dyDescent="0.35">
      <c r="M2160" s="22"/>
    </row>
    <row r="2161" spans="13:13" ht="18.899999999999999" customHeight="1" x14ac:dyDescent="0.35">
      <c r="M2161" s="22"/>
    </row>
    <row r="2162" spans="13:13" ht="18.899999999999999" customHeight="1" x14ac:dyDescent="0.35">
      <c r="M2162" s="22"/>
    </row>
    <row r="2163" spans="13:13" ht="18.899999999999999" customHeight="1" x14ac:dyDescent="0.35">
      <c r="M2163" s="22"/>
    </row>
    <row r="2164" spans="13:13" ht="18.899999999999999" customHeight="1" x14ac:dyDescent="0.35">
      <c r="M2164" s="22"/>
    </row>
    <row r="2165" spans="13:13" ht="18.899999999999999" customHeight="1" x14ac:dyDescent="0.35">
      <c r="M2165" s="22"/>
    </row>
    <row r="2166" spans="13:13" ht="18.899999999999999" customHeight="1" x14ac:dyDescent="0.35">
      <c r="M2166" s="22"/>
    </row>
    <row r="2167" spans="13:13" ht="18.899999999999999" customHeight="1" x14ac:dyDescent="0.35">
      <c r="M2167" s="22"/>
    </row>
    <row r="2168" spans="13:13" ht="18.899999999999999" customHeight="1" x14ac:dyDescent="0.35">
      <c r="M2168" s="22"/>
    </row>
    <row r="2169" spans="13:13" ht="18.899999999999999" customHeight="1" x14ac:dyDescent="0.35">
      <c r="M2169" s="22"/>
    </row>
    <row r="2170" spans="13:13" ht="18.899999999999999" customHeight="1" x14ac:dyDescent="0.35">
      <c r="M2170" s="22"/>
    </row>
    <row r="2171" spans="13:13" ht="18.899999999999999" customHeight="1" x14ac:dyDescent="0.35">
      <c r="M2171" s="22"/>
    </row>
    <row r="2172" spans="13:13" ht="18.899999999999999" customHeight="1" x14ac:dyDescent="0.35">
      <c r="M2172" s="22"/>
    </row>
    <row r="2173" spans="13:13" ht="18.899999999999999" customHeight="1" x14ac:dyDescent="0.35">
      <c r="M2173" s="22"/>
    </row>
    <row r="2174" spans="13:13" ht="18.899999999999999" customHeight="1" x14ac:dyDescent="0.35">
      <c r="M2174" s="22"/>
    </row>
    <row r="2175" spans="13:13" ht="18.899999999999999" customHeight="1" x14ac:dyDescent="0.35">
      <c r="M2175" s="22"/>
    </row>
    <row r="2176" spans="13:13" ht="18.899999999999999" customHeight="1" x14ac:dyDescent="0.35">
      <c r="M2176" s="22"/>
    </row>
    <row r="2177" spans="13:13" ht="18.899999999999999" customHeight="1" x14ac:dyDescent="0.35">
      <c r="M2177" s="22"/>
    </row>
    <row r="2178" spans="13:13" ht="18.899999999999999" customHeight="1" x14ac:dyDescent="0.35">
      <c r="M2178" s="22"/>
    </row>
    <row r="2179" spans="13:13" ht="18.899999999999999" customHeight="1" x14ac:dyDescent="0.35">
      <c r="M2179" s="22"/>
    </row>
    <row r="2180" spans="13:13" ht="18.899999999999999" customHeight="1" x14ac:dyDescent="0.35">
      <c r="M2180" s="22"/>
    </row>
    <row r="2181" spans="13:13" ht="18.899999999999999" customHeight="1" x14ac:dyDescent="0.35">
      <c r="M2181" s="22"/>
    </row>
    <row r="2182" spans="13:13" ht="18.899999999999999" customHeight="1" x14ac:dyDescent="0.35">
      <c r="M2182" s="22"/>
    </row>
    <row r="2183" spans="13:13" ht="18.899999999999999" customHeight="1" x14ac:dyDescent="0.35">
      <c r="M2183" s="22"/>
    </row>
    <row r="2184" spans="13:13" ht="18.899999999999999" customHeight="1" x14ac:dyDescent="0.35">
      <c r="M2184" s="22"/>
    </row>
    <row r="2185" spans="13:13" ht="18.899999999999999" customHeight="1" x14ac:dyDescent="0.35">
      <c r="M2185" s="22"/>
    </row>
    <row r="2186" spans="13:13" ht="18.899999999999999" customHeight="1" x14ac:dyDescent="0.35">
      <c r="M2186" s="22"/>
    </row>
    <row r="2187" spans="13:13" ht="18.899999999999999" customHeight="1" x14ac:dyDescent="0.35">
      <c r="M2187" s="22"/>
    </row>
    <row r="2188" spans="13:13" ht="18.899999999999999" customHeight="1" x14ac:dyDescent="0.35">
      <c r="M2188" s="22"/>
    </row>
    <row r="2189" spans="13:13" ht="18.899999999999999" customHeight="1" x14ac:dyDescent="0.35">
      <c r="M2189" s="22"/>
    </row>
    <row r="2190" spans="13:13" ht="18.899999999999999" customHeight="1" x14ac:dyDescent="0.35">
      <c r="M2190" s="22"/>
    </row>
    <row r="2191" spans="13:13" ht="18.899999999999999" customHeight="1" x14ac:dyDescent="0.35">
      <c r="M2191" s="22"/>
    </row>
    <row r="2192" spans="13:13" ht="18.899999999999999" customHeight="1" x14ac:dyDescent="0.35">
      <c r="M2192" s="22"/>
    </row>
    <row r="2193" spans="13:13" ht="18.899999999999999" customHeight="1" x14ac:dyDescent="0.35">
      <c r="M2193" s="22"/>
    </row>
    <row r="2194" spans="13:13" ht="18.899999999999999" customHeight="1" x14ac:dyDescent="0.35">
      <c r="M2194" s="22"/>
    </row>
    <row r="2195" spans="13:13" ht="18.899999999999999" customHeight="1" x14ac:dyDescent="0.35">
      <c r="M2195" s="22"/>
    </row>
    <row r="2196" spans="13:13" ht="18.899999999999999" customHeight="1" x14ac:dyDescent="0.35">
      <c r="M2196" s="22"/>
    </row>
    <row r="2197" spans="13:13" ht="18.899999999999999" customHeight="1" x14ac:dyDescent="0.35">
      <c r="M2197" s="22"/>
    </row>
    <row r="2198" spans="13:13" ht="18.899999999999999" customHeight="1" x14ac:dyDescent="0.35">
      <c r="M2198" s="22"/>
    </row>
    <row r="2199" spans="13:13" ht="18.899999999999999" customHeight="1" x14ac:dyDescent="0.35">
      <c r="M2199" s="22"/>
    </row>
    <row r="2200" spans="13:13" ht="18.899999999999999" customHeight="1" x14ac:dyDescent="0.35">
      <c r="M2200" s="22"/>
    </row>
    <row r="2201" spans="13:13" ht="18.899999999999999" customHeight="1" x14ac:dyDescent="0.35">
      <c r="M2201" s="22"/>
    </row>
    <row r="2202" spans="13:13" ht="18.899999999999999" customHeight="1" x14ac:dyDescent="0.35">
      <c r="M2202" s="22"/>
    </row>
    <row r="2203" spans="13:13" ht="18.899999999999999" customHeight="1" x14ac:dyDescent="0.35">
      <c r="M2203" s="22"/>
    </row>
    <row r="2204" spans="13:13" ht="18.899999999999999" customHeight="1" x14ac:dyDescent="0.35">
      <c r="M2204" s="22"/>
    </row>
    <row r="2205" spans="13:13" ht="18.899999999999999" customHeight="1" x14ac:dyDescent="0.35">
      <c r="M2205" s="22"/>
    </row>
    <row r="2206" spans="13:13" ht="18.899999999999999" customHeight="1" x14ac:dyDescent="0.35">
      <c r="M2206" s="22"/>
    </row>
    <row r="2207" spans="13:13" ht="18.899999999999999" customHeight="1" x14ac:dyDescent="0.35">
      <c r="M2207" s="22"/>
    </row>
    <row r="2208" spans="13:13" ht="18.899999999999999" customHeight="1" x14ac:dyDescent="0.35">
      <c r="M2208" s="22"/>
    </row>
    <row r="2209" spans="13:13" ht="18.899999999999999" customHeight="1" x14ac:dyDescent="0.35">
      <c r="M2209" s="22"/>
    </row>
    <row r="2210" spans="13:13" ht="18.899999999999999" customHeight="1" x14ac:dyDescent="0.35">
      <c r="M2210" s="22"/>
    </row>
    <row r="2211" spans="13:13" ht="18.899999999999999" customHeight="1" x14ac:dyDescent="0.35">
      <c r="M2211" s="22"/>
    </row>
    <row r="2212" spans="13:13" ht="18.899999999999999" customHeight="1" x14ac:dyDescent="0.35">
      <c r="M2212" s="22"/>
    </row>
    <row r="2213" spans="13:13" ht="18.899999999999999" customHeight="1" x14ac:dyDescent="0.35">
      <c r="M2213" s="22"/>
    </row>
    <row r="2214" spans="13:13" ht="18.899999999999999" customHeight="1" x14ac:dyDescent="0.35">
      <c r="M2214" s="22"/>
    </row>
    <row r="2215" spans="13:13" ht="18.899999999999999" customHeight="1" x14ac:dyDescent="0.35">
      <c r="M2215" s="22"/>
    </row>
    <row r="2216" spans="13:13" ht="18.899999999999999" customHeight="1" x14ac:dyDescent="0.35">
      <c r="M2216" s="22"/>
    </row>
    <row r="2217" spans="13:13" ht="18.899999999999999" customHeight="1" x14ac:dyDescent="0.35">
      <c r="M2217" s="22"/>
    </row>
    <row r="2218" spans="13:13" ht="18.899999999999999" customHeight="1" x14ac:dyDescent="0.35">
      <c r="M2218" s="22"/>
    </row>
    <row r="2219" spans="13:13" ht="18.899999999999999" customHeight="1" x14ac:dyDescent="0.35">
      <c r="M2219" s="22"/>
    </row>
    <row r="2220" spans="13:13" ht="18.899999999999999" customHeight="1" x14ac:dyDescent="0.35">
      <c r="M2220" s="22"/>
    </row>
    <row r="2221" spans="13:13" ht="18.899999999999999" customHeight="1" x14ac:dyDescent="0.35">
      <c r="M2221" s="22"/>
    </row>
    <row r="2222" spans="13:13" ht="18.899999999999999" customHeight="1" x14ac:dyDescent="0.35">
      <c r="M2222" s="22"/>
    </row>
    <row r="2223" spans="13:13" ht="18.899999999999999" customHeight="1" x14ac:dyDescent="0.35">
      <c r="M2223" s="22"/>
    </row>
    <row r="2224" spans="13:13" ht="18.899999999999999" customHeight="1" x14ac:dyDescent="0.35">
      <c r="M2224" s="22"/>
    </row>
    <row r="2225" spans="13:13" ht="18.899999999999999" customHeight="1" x14ac:dyDescent="0.35">
      <c r="M2225" s="22"/>
    </row>
    <row r="2226" spans="13:13" ht="18.899999999999999" customHeight="1" x14ac:dyDescent="0.35">
      <c r="M2226" s="22"/>
    </row>
    <row r="2227" spans="13:13" ht="18.899999999999999" customHeight="1" x14ac:dyDescent="0.35">
      <c r="M2227" s="22"/>
    </row>
    <row r="2228" spans="13:13" ht="18.899999999999999" customHeight="1" x14ac:dyDescent="0.35">
      <c r="M2228" s="22"/>
    </row>
    <row r="2229" spans="13:13" ht="18.899999999999999" customHeight="1" x14ac:dyDescent="0.35">
      <c r="M2229" s="22"/>
    </row>
    <row r="2230" spans="13:13" ht="18.899999999999999" customHeight="1" x14ac:dyDescent="0.35">
      <c r="M2230" s="22"/>
    </row>
    <row r="2231" spans="13:13" ht="18.899999999999999" customHeight="1" x14ac:dyDescent="0.35">
      <c r="M2231" s="22"/>
    </row>
    <row r="2232" spans="13:13" ht="18.899999999999999" customHeight="1" x14ac:dyDescent="0.35">
      <c r="M2232" s="22"/>
    </row>
    <row r="2233" spans="13:13" ht="18.899999999999999" customHeight="1" x14ac:dyDescent="0.35">
      <c r="M2233" s="22"/>
    </row>
    <row r="2234" spans="13:13" ht="18.899999999999999" customHeight="1" x14ac:dyDescent="0.35">
      <c r="M2234" s="22"/>
    </row>
    <row r="2235" spans="13:13" ht="18.899999999999999" customHeight="1" x14ac:dyDescent="0.35">
      <c r="M2235" s="22"/>
    </row>
    <row r="2236" spans="13:13" ht="18.899999999999999" customHeight="1" x14ac:dyDescent="0.35">
      <c r="M2236" s="22"/>
    </row>
    <row r="2237" spans="13:13" ht="18.899999999999999" customHeight="1" x14ac:dyDescent="0.35">
      <c r="M2237" s="22"/>
    </row>
    <row r="2238" spans="13:13" ht="18.899999999999999" customHeight="1" x14ac:dyDescent="0.35">
      <c r="M2238" s="22"/>
    </row>
    <row r="2239" spans="13:13" ht="18.899999999999999" customHeight="1" x14ac:dyDescent="0.35">
      <c r="M2239" s="22"/>
    </row>
    <row r="2240" spans="13:13" ht="18.899999999999999" customHeight="1" x14ac:dyDescent="0.35">
      <c r="M2240" s="22"/>
    </row>
    <row r="2241" spans="13:13" ht="18.899999999999999" customHeight="1" x14ac:dyDescent="0.35">
      <c r="M2241" s="22"/>
    </row>
    <row r="2242" spans="13:13" ht="18.899999999999999" customHeight="1" x14ac:dyDescent="0.35">
      <c r="M2242" s="22"/>
    </row>
    <row r="2243" spans="13:13" ht="18.899999999999999" customHeight="1" x14ac:dyDescent="0.35">
      <c r="M2243" s="22"/>
    </row>
    <row r="2244" spans="13:13" ht="18.899999999999999" customHeight="1" x14ac:dyDescent="0.35">
      <c r="M2244" s="22"/>
    </row>
    <row r="2245" spans="13:13" ht="18.899999999999999" customHeight="1" x14ac:dyDescent="0.35">
      <c r="M2245" s="22"/>
    </row>
    <row r="2246" spans="13:13" ht="18.899999999999999" customHeight="1" x14ac:dyDescent="0.35">
      <c r="M2246" s="22"/>
    </row>
    <row r="2247" spans="13:13" ht="18.899999999999999" customHeight="1" x14ac:dyDescent="0.35">
      <c r="M2247" s="22"/>
    </row>
    <row r="2248" spans="13:13" ht="18.899999999999999" customHeight="1" x14ac:dyDescent="0.35">
      <c r="M2248" s="22"/>
    </row>
    <row r="2249" spans="13:13" ht="18.899999999999999" customHeight="1" x14ac:dyDescent="0.35">
      <c r="M2249" s="22"/>
    </row>
    <row r="2250" spans="13:13" ht="18.899999999999999" customHeight="1" x14ac:dyDescent="0.35">
      <c r="M2250" s="22"/>
    </row>
    <row r="2251" spans="13:13" ht="18.899999999999999" customHeight="1" x14ac:dyDescent="0.35">
      <c r="M2251" s="22"/>
    </row>
    <row r="2252" spans="13:13" ht="18.899999999999999" customHeight="1" x14ac:dyDescent="0.35">
      <c r="M2252" s="22"/>
    </row>
    <row r="2253" spans="13:13" ht="18.899999999999999" customHeight="1" x14ac:dyDescent="0.35">
      <c r="M2253" s="22"/>
    </row>
    <row r="2254" spans="13:13" ht="18.899999999999999" customHeight="1" x14ac:dyDescent="0.35">
      <c r="M2254" s="22"/>
    </row>
    <row r="2255" spans="13:13" ht="18.899999999999999" customHeight="1" x14ac:dyDescent="0.35">
      <c r="M2255" s="22"/>
    </row>
    <row r="2256" spans="13:13" ht="18.899999999999999" customHeight="1" x14ac:dyDescent="0.35">
      <c r="M2256" s="22"/>
    </row>
    <row r="2257" spans="13:13" ht="18.899999999999999" customHeight="1" x14ac:dyDescent="0.35">
      <c r="M2257" s="22"/>
    </row>
    <row r="2258" spans="13:13" ht="18.899999999999999" customHeight="1" x14ac:dyDescent="0.35">
      <c r="M2258" s="22"/>
    </row>
    <row r="2259" spans="13:13" ht="18.899999999999999" customHeight="1" x14ac:dyDescent="0.35">
      <c r="M2259" s="22"/>
    </row>
    <row r="2260" spans="13:13" ht="18.899999999999999" customHeight="1" x14ac:dyDescent="0.35">
      <c r="M2260" s="22"/>
    </row>
    <row r="2261" spans="13:13" ht="18.899999999999999" customHeight="1" x14ac:dyDescent="0.35">
      <c r="M2261" s="22"/>
    </row>
    <row r="2262" spans="13:13" ht="18.899999999999999" customHeight="1" x14ac:dyDescent="0.35">
      <c r="M2262" s="22"/>
    </row>
    <row r="2263" spans="13:13" ht="18.899999999999999" customHeight="1" x14ac:dyDescent="0.35">
      <c r="M2263" s="22"/>
    </row>
    <row r="2264" spans="13:13" ht="18.899999999999999" customHeight="1" x14ac:dyDescent="0.35">
      <c r="M2264" s="22"/>
    </row>
    <row r="2265" spans="13:13" ht="18.899999999999999" customHeight="1" x14ac:dyDescent="0.35">
      <c r="M2265" s="22"/>
    </row>
    <row r="2266" spans="13:13" ht="18.899999999999999" customHeight="1" x14ac:dyDescent="0.35">
      <c r="M2266" s="22"/>
    </row>
    <row r="2267" spans="13:13" ht="18.899999999999999" customHeight="1" x14ac:dyDescent="0.35">
      <c r="M2267" s="22"/>
    </row>
    <row r="2268" spans="13:13" ht="18.899999999999999" customHeight="1" x14ac:dyDescent="0.35">
      <c r="M2268" s="22"/>
    </row>
    <row r="2269" spans="13:13" ht="18.899999999999999" customHeight="1" x14ac:dyDescent="0.35">
      <c r="M2269" s="22"/>
    </row>
    <row r="2270" spans="13:13" ht="18.899999999999999" customHeight="1" x14ac:dyDescent="0.35">
      <c r="M2270" s="22"/>
    </row>
    <row r="2271" spans="13:13" ht="18.899999999999999" customHeight="1" x14ac:dyDescent="0.35">
      <c r="M2271" s="22"/>
    </row>
    <row r="2272" spans="13:13" ht="18.899999999999999" customHeight="1" x14ac:dyDescent="0.35">
      <c r="M2272" s="22"/>
    </row>
    <row r="2273" spans="13:13" ht="18.899999999999999" customHeight="1" x14ac:dyDescent="0.35">
      <c r="M2273" s="22"/>
    </row>
    <row r="2274" spans="13:13" ht="18.899999999999999" customHeight="1" x14ac:dyDescent="0.35">
      <c r="M2274" s="22"/>
    </row>
    <row r="2275" spans="13:13" ht="18.899999999999999" customHeight="1" x14ac:dyDescent="0.35">
      <c r="M2275" s="22"/>
    </row>
    <row r="2276" spans="13:13" ht="18.899999999999999" customHeight="1" x14ac:dyDescent="0.35">
      <c r="M2276" s="22"/>
    </row>
    <row r="2277" spans="13:13" ht="18.899999999999999" customHeight="1" x14ac:dyDescent="0.35">
      <c r="M2277" s="22"/>
    </row>
    <row r="2278" spans="13:13" ht="18.899999999999999" customHeight="1" x14ac:dyDescent="0.35">
      <c r="M2278" s="22"/>
    </row>
    <row r="2279" spans="13:13" ht="18.899999999999999" customHeight="1" x14ac:dyDescent="0.35">
      <c r="M2279" s="22"/>
    </row>
    <row r="2280" spans="13:13" ht="18.899999999999999" customHeight="1" x14ac:dyDescent="0.35">
      <c r="M2280" s="22"/>
    </row>
    <row r="2281" spans="13:13" ht="18.899999999999999" customHeight="1" x14ac:dyDescent="0.35">
      <c r="M2281" s="22"/>
    </row>
    <row r="2282" spans="13:13" ht="18.899999999999999" customHeight="1" x14ac:dyDescent="0.35">
      <c r="M2282" s="22"/>
    </row>
    <row r="2283" spans="13:13" ht="18.899999999999999" customHeight="1" x14ac:dyDescent="0.35">
      <c r="M2283" s="22"/>
    </row>
    <row r="2284" spans="13:13" ht="18.899999999999999" customHeight="1" x14ac:dyDescent="0.35">
      <c r="M2284" s="22"/>
    </row>
    <row r="2285" spans="13:13" ht="18.899999999999999" customHeight="1" x14ac:dyDescent="0.35">
      <c r="M2285" s="22"/>
    </row>
    <row r="2286" spans="13:13" ht="18.899999999999999" customHeight="1" x14ac:dyDescent="0.35">
      <c r="M2286" s="22"/>
    </row>
    <row r="2287" spans="13:13" ht="18.899999999999999" customHeight="1" x14ac:dyDescent="0.35">
      <c r="M2287" s="22"/>
    </row>
    <row r="2288" spans="13:13" ht="18.899999999999999" customHeight="1" x14ac:dyDescent="0.35">
      <c r="M2288" s="22"/>
    </row>
    <row r="2289" spans="13:13" ht="18.899999999999999" customHeight="1" x14ac:dyDescent="0.35">
      <c r="M2289" s="22"/>
    </row>
    <row r="2290" spans="13:13" ht="18.899999999999999" customHeight="1" x14ac:dyDescent="0.35">
      <c r="M2290" s="22"/>
    </row>
    <row r="2291" spans="13:13" ht="18.899999999999999" customHeight="1" x14ac:dyDescent="0.35">
      <c r="M2291" s="22"/>
    </row>
    <row r="2292" spans="13:13" ht="18.899999999999999" customHeight="1" x14ac:dyDescent="0.35">
      <c r="M2292" s="22"/>
    </row>
    <row r="2293" spans="13:13" ht="18.899999999999999" customHeight="1" x14ac:dyDescent="0.35">
      <c r="M2293" s="22"/>
    </row>
    <row r="2294" spans="13:13" ht="18.899999999999999" customHeight="1" x14ac:dyDescent="0.35">
      <c r="M2294" s="22"/>
    </row>
    <row r="2295" spans="13:13" ht="18.899999999999999" customHeight="1" x14ac:dyDescent="0.35">
      <c r="M2295" s="22"/>
    </row>
    <row r="2296" spans="13:13" ht="18.899999999999999" customHeight="1" x14ac:dyDescent="0.35">
      <c r="M2296" s="22"/>
    </row>
    <row r="2297" spans="13:13" ht="18.899999999999999" customHeight="1" x14ac:dyDescent="0.35">
      <c r="M2297" s="22"/>
    </row>
    <row r="2298" spans="13:13" ht="18.899999999999999" customHeight="1" x14ac:dyDescent="0.35">
      <c r="M2298" s="22"/>
    </row>
    <row r="2299" spans="13:13" ht="18.899999999999999" customHeight="1" x14ac:dyDescent="0.35">
      <c r="M2299" s="22"/>
    </row>
    <row r="2300" spans="13:13" ht="18.899999999999999" customHeight="1" x14ac:dyDescent="0.35">
      <c r="M2300" s="22"/>
    </row>
    <row r="2301" spans="13:13" ht="18.899999999999999" customHeight="1" x14ac:dyDescent="0.35">
      <c r="M2301" s="22"/>
    </row>
    <row r="2302" spans="13:13" ht="18.899999999999999" customHeight="1" x14ac:dyDescent="0.35">
      <c r="M2302" s="22"/>
    </row>
    <row r="2303" spans="13:13" ht="18.899999999999999" customHeight="1" x14ac:dyDescent="0.35">
      <c r="M2303" s="22"/>
    </row>
    <row r="2304" spans="13:13" ht="18.899999999999999" customHeight="1" x14ac:dyDescent="0.35">
      <c r="M2304" s="22"/>
    </row>
    <row r="2305" spans="13:13" ht="18.899999999999999" customHeight="1" x14ac:dyDescent="0.35">
      <c r="M2305" s="22"/>
    </row>
    <row r="2306" spans="13:13" ht="18.899999999999999" customHeight="1" x14ac:dyDescent="0.35">
      <c r="M2306" s="22"/>
    </row>
    <row r="2307" spans="13:13" ht="18.899999999999999" customHeight="1" x14ac:dyDescent="0.35">
      <c r="M2307" s="22"/>
    </row>
    <row r="2308" spans="13:13" ht="18.899999999999999" customHeight="1" x14ac:dyDescent="0.35">
      <c r="M2308" s="22"/>
    </row>
    <row r="2309" spans="13:13" ht="18.899999999999999" customHeight="1" x14ac:dyDescent="0.35">
      <c r="M2309" s="22"/>
    </row>
    <row r="2310" spans="13:13" ht="18.899999999999999" customHeight="1" x14ac:dyDescent="0.35">
      <c r="M2310" s="22"/>
    </row>
    <row r="2311" spans="13:13" ht="18.899999999999999" customHeight="1" x14ac:dyDescent="0.35">
      <c r="M2311" s="22"/>
    </row>
    <row r="2312" spans="13:13" ht="18.899999999999999" customHeight="1" x14ac:dyDescent="0.35">
      <c r="M2312" s="22"/>
    </row>
    <row r="2313" spans="13:13" ht="18.899999999999999" customHeight="1" x14ac:dyDescent="0.35">
      <c r="M2313" s="22"/>
    </row>
    <row r="2314" spans="13:13" ht="18.899999999999999" customHeight="1" x14ac:dyDescent="0.35">
      <c r="M2314" s="22"/>
    </row>
    <row r="2315" spans="13:13" ht="18.899999999999999" customHeight="1" x14ac:dyDescent="0.35">
      <c r="M2315" s="22"/>
    </row>
    <row r="2316" spans="13:13" ht="18.899999999999999" customHeight="1" x14ac:dyDescent="0.35">
      <c r="M2316" s="22"/>
    </row>
    <row r="2317" spans="13:13" ht="18.899999999999999" customHeight="1" x14ac:dyDescent="0.35">
      <c r="M2317" s="22"/>
    </row>
    <row r="2318" spans="13:13" ht="18.899999999999999" customHeight="1" x14ac:dyDescent="0.35">
      <c r="M2318" s="22"/>
    </row>
    <row r="2319" spans="13:13" ht="18.899999999999999" customHeight="1" x14ac:dyDescent="0.35">
      <c r="M2319" s="22"/>
    </row>
    <row r="2320" spans="13:13" ht="18.899999999999999" customHeight="1" x14ac:dyDescent="0.35">
      <c r="M2320" s="22"/>
    </row>
    <row r="2321" spans="13:13" ht="18.899999999999999" customHeight="1" x14ac:dyDescent="0.35">
      <c r="M2321" s="22"/>
    </row>
    <row r="2322" spans="13:13" ht="18.899999999999999" customHeight="1" x14ac:dyDescent="0.35">
      <c r="M2322" s="22"/>
    </row>
    <row r="2323" spans="13:13" ht="18.899999999999999" customHeight="1" x14ac:dyDescent="0.35">
      <c r="M2323" s="22"/>
    </row>
    <row r="2324" spans="13:13" ht="18.899999999999999" customHeight="1" x14ac:dyDescent="0.35">
      <c r="M2324" s="22"/>
    </row>
    <row r="2325" spans="13:13" ht="18.899999999999999" customHeight="1" x14ac:dyDescent="0.35">
      <c r="M2325" s="22"/>
    </row>
    <row r="2326" spans="13:13" ht="18.899999999999999" customHeight="1" x14ac:dyDescent="0.35">
      <c r="M2326" s="22"/>
    </row>
    <row r="2327" spans="13:13" ht="18.899999999999999" customHeight="1" x14ac:dyDescent="0.35">
      <c r="M2327" s="22"/>
    </row>
    <row r="2328" spans="13:13" ht="18.899999999999999" customHeight="1" x14ac:dyDescent="0.35">
      <c r="M2328" s="22"/>
    </row>
    <row r="2329" spans="13:13" ht="18.899999999999999" customHeight="1" x14ac:dyDescent="0.35">
      <c r="M2329" s="22"/>
    </row>
    <row r="2330" spans="13:13" ht="18.899999999999999" customHeight="1" x14ac:dyDescent="0.35">
      <c r="M2330" s="22"/>
    </row>
    <row r="2331" spans="13:13" ht="18.899999999999999" customHeight="1" x14ac:dyDescent="0.35">
      <c r="M2331" s="22"/>
    </row>
    <row r="2332" spans="13:13" ht="18.899999999999999" customHeight="1" x14ac:dyDescent="0.35">
      <c r="M2332" s="22"/>
    </row>
    <row r="2333" spans="13:13" ht="18.899999999999999" customHeight="1" x14ac:dyDescent="0.35">
      <c r="M2333" s="22"/>
    </row>
    <row r="2334" spans="13:13" ht="18.899999999999999" customHeight="1" x14ac:dyDescent="0.35">
      <c r="M2334" s="22"/>
    </row>
    <row r="2335" spans="13:13" ht="18.899999999999999" customHeight="1" x14ac:dyDescent="0.35">
      <c r="M2335" s="22"/>
    </row>
    <row r="2336" spans="13:13" ht="18.899999999999999" customHeight="1" x14ac:dyDescent="0.35">
      <c r="M2336" s="22"/>
    </row>
    <row r="2337" spans="13:13" ht="18.899999999999999" customHeight="1" x14ac:dyDescent="0.35">
      <c r="M2337" s="22"/>
    </row>
    <row r="2338" spans="13:13" ht="18.899999999999999" customHeight="1" x14ac:dyDescent="0.35">
      <c r="M2338" s="22"/>
    </row>
    <row r="2339" spans="13:13" ht="18.899999999999999" customHeight="1" x14ac:dyDescent="0.35">
      <c r="M2339" s="22"/>
    </row>
    <row r="2340" spans="13:13" ht="18.899999999999999" customHeight="1" x14ac:dyDescent="0.35">
      <c r="M2340" s="22"/>
    </row>
    <row r="2341" spans="13:13" ht="18.899999999999999" customHeight="1" x14ac:dyDescent="0.35">
      <c r="M2341" s="22"/>
    </row>
    <row r="2342" spans="13:13" ht="18.899999999999999" customHeight="1" x14ac:dyDescent="0.35">
      <c r="M2342" s="22"/>
    </row>
    <row r="2343" spans="13:13" ht="18.899999999999999" customHeight="1" x14ac:dyDescent="0.35">
      <c r="M2343" s="22"/>
    </row>
    <row r="2344" spans="13:13" ht="18.899999999999999" customHeight="1" x14ac:dyDescent="0.35">
      <c r="M2344" s="22"/>
    </row>
    <row r="2345" spans="13:13" ht="18.899999999999999" customHeight="1" x14ac:dyDescent="0.35">
      <c r="M2345" s="22"/>
    </row>
    <row r="2346" spans="13:13" ht="18.899999999999999" customHeight="1" x14ac:dyDescent="0.35">
      <c r="M2346" s="22"/>
    </row>
    <row r="2347" spans="13:13" ht="18.899999999999999" customHeight="1" x14ac:dyDescent="0.35">
      <c r="M2347" s="22"/>
    </row>
    <row r="2348" spans="13:13" ht="18.899999999999999" customHeight="1" x14ac:dyDescent="0.35">
      <c r="M2348" s="22"/>
    </row>
    <row r="2349" spans="13:13" ht="18.899999999999999" customHeight="1" x14ac:dyDescent="0.35">
      <c r="M2349" s="22"/>
    </row>
    <row r="2350" spans="13:13" ht="18.899999999999999" customHeight="1" x14ac:dyDescent="0.35">
      <c r="M2350" s="22"/>
    </row>
    <row r="2351" spans="13:13" ht="18.899999999999999" customHeight="1" x14ac:dyDescent="0.35">
      <c r="M2351" s="22"/>
    </row>
    <row r="2352" spans="13:13" ht="18.899999999999999" customHeight="1" x14ac:dyDescent="0.35">
      <c r="M2352" s="22"/>
    </row>
    <row r="2353" spans="13:13" ht="18.899999999999999" customHeight="1" x14ac:dyDescent="0.35">
      <c r="M2353" s="22"/>
    </row>
    <row r="2354" spans="13:13" ht="18.899999999999999" customHeight="1" x14ac:dyDescent="0.35">
      <c r="M2354" s="22"/>
    </row>
    <row r="2355" spans="13:13" ht="18.899999999999999" customHeight="1" x14ac:dyDescent="0.35">
      <c r="M2355" s="22"/>
    </row>
    <row r="2356" spans="13:13" ht="18.899999999999999" customHeight="1" x14ac:dyDescent="0.35">
      <c r="M2356" s="22"/>
    </row>
    <row r="2357" spans="13:13" ht="18.899999999999999" customHeight="1" x14ac:dyDescent="0.35">
      <c r="M2357" s="22"/>
    </row>
    <row r="2358" spans="13:13" ht="18.899999999999999" customHeight="1" x14ac:dyDescent="0.35">
      <c r="M2358" s="22"/>
    </row>
    <row r="2359" spans="13:13" ht="18.899999999999999" customHeight="1" x14ac:dyDescent="0.35">
      <c r="M2359" s="22"/>
    </row>
    <row r="2360" spans="13:13" ht="18.899999999999999" customHeight="1" x14ac:dyDescent="0.35">
      <c r="M2360" s="22"/>
    </row>
    <row r="2361" spans="13:13" ht="18.899999999999999" customHeight="1" x14ac:dyDescent="0.35">
      <c r="M2361" s="22"/>
    </row>
    <row r="2362" spans="13:13" ht="18.899999999999999" customHeight="1" x14ac:dyDescent="0.35">
      <c r="M2362" s="22"/>
    </row>
    <row r="2363" spans="13:13" ht="18.899999999999999" customHeight="1" x14ac:dyDescent="0.35">
      <c r="M2363" s="22"/>
    </row>
    <row r="2364" spans="13:13" ht="18.899999999999999" customHeight="1" x14ac:dyDescent="0.35">
      <c r="M2364" s="22"/>
    </row>
    <row r="2365" spans="13:13" ht="18.899999999999999" customHeight="1" x14ac:dyDescent="0.35">
      <c r="M2365" s="22"/>
    </row>
    <row r="2366" spans="13:13" ht="18.899999999999999" customHeight="1" x14ac:dyDescent="0.35">
      <c r="M2366" s="22"/>
    </row>
    <row r="2367" spans="13:13" ht="18.899999999999999" customHeight="1" x14ac:dyDescent="0.35">
      <c r="M2367" s="22"/>
    </row>
    <row r="2368" spans="13:13" ht="18.899999999999999" customHeight="1" x14ac:dyDescent="0.35">
      <c r="M2368" s="22"/>
    </row>
    <row r="2369" spans="13:13" ht="18.899999999999999" customHeight="1" x14ac:dyDescent="0.35">
      <c r="M2369" s="22"/>
    </row>
    <row r="2370" spans="13:13" ht="18.899999999999999" customHeight="1" x14ac:dyDescent="0.35">
      <c r="M2370" s="22"/>
    </row>
    <row r="2371" spans="13:13" ht="18.899999999999999" customHeight="1" x14ac:dyDescent="0.35">
      <c r="M2371" s="22"/>
    </row>
    <row r="2372" spans="13:13" ht="18.899999999999999" customHeight="1" x14ac:dyDescent="0.35">
      <c r="M2372" s="22"/>
    </row>
    <row r="2373" spans="13:13" ht="18.899999999999999" customHeight="1" x14ac:dyDescent="0.35">
      <c r="M2373" s="22"/>
    </row>
    <row r="2374" spans="13:13" ht="18.899999999999999" customHeight="1" x14ac:dyDescent="0.35">
      <c r="M2374" s="22"/>
    </row>
    <row r="2375" spans="13:13" ht="18.899999999999999" customHeight="1" x14ac:dyDescent="0.35">
      <c r="M2375" s="22"/>
    </row>
    <row r="2376" spans="13:13" ht="18.899999999999999" customHeight="1" x14ac:dyDescent="0.35">
      <c r="M2376" s="22"/>
    </row>
    <row r="2377" spans="13:13" ht="18.899999999999999" customHeight="1" x14ac:dyDescent="0.35">
      <c r="M2377" s="22"/>
    </row>
    <row r="2378" spans="13:13" ht="18.899999999999999" customHeight="1" x14ac:dyDescent="0.35">
      <c r="M2378" s="22"/>
    </row>
    <row r="2379" spans="13:13" ht="18.899999999999999" customHeight="1" x14ac:dyDescent="0.35">
      <c r="M2379" s="22"/>
    </row>
    <row r="2380" spans="13:13" ht="18.899999999999999" customHeight="1" x14ac:dyDescent="0.35">
      <c r="M2380" s="22"/>
    </row>
    <row r="2381" spans="13:13" ht="18.899999999999999" customHeight="1" x14ac:dyDescent="0.35">
      <c r="M2381" s="22"/>
    </row>
    <row r="2382" spans="13:13" ht="18.899999999999999" customHeight="1" x14ac:dyDescent="0.35">
      <c r="M2382" s="22"/>
    </row>
    <row r="2383" spans="13:13" ht="18.899999999999999" customHeight="1" x14ac:dyDescent="0.35">
      <c r="M2383" s="22"/>
    </row>
    <row r="2384" spans="13:13" ht="18.899999999999999" customHeight="1" x14ac:dyDescent="0.35">
      <c r="M2384" s="22"/>
    </row>
    <row r="2385" spans="13:13" ht="18.899999999999999" customHeight="1" x14ac:dyDescent="0.35">
      <c r="M2385" s="22"/>
    </row>
    <row r="2386" spans="13:13" ht="18.899999999999999" customHeight="1" x14ac:dyDescent="0.35">
      <c r="M2386" s="22"/>
    </row>
    <row r="2387" spans="13:13" ht="18.899999999999999" customHeight="1" x14ac:dyDescent="0.35">
      <c r="M2387" s="22"/>
    </row>
    <row r="2388" spans="13:13" ht="18.899999999999999" customHeight="1" x14ac:dyDescent="0.35">
      <c r="M2388" s="22"/>
    </row>
    <row r="2389" spans="13:13" ht="18.899999999999999" customHeight="1" x14ac:dyDescent="0.35">
      <c r="M2389" s="22"/>
    </row>
    <row r="2390" spans="13:13" ht="18.899999999999999" customHeight="1" x14ac:dyDescent="0.35">
      <c r="M2390" s="22"/>
    </row>
    <row r="2391" spans="13:13" ht="18.899999999999999" customHeight="1" x14ac:dyDescent="0.35">
      <c r="M2391" s="22"/>
    </row>
    <row r="2392" spans="13:13" ht="18.899999999999999" customHeight="1" x14ac:dyDescent="0.35">
      <c r="M2392" s="22"/>
    </row>
    <row r="2393" spans="13:13" ht="18.899999999999999" customHeight="1" x14ac:dyDescent="0.35">
      <c r="M2393" s="22"/>
    </row>
    <row r="2394" spans="13:13" ht="18.899999999999999" customHeight="1" x14ac:dyDescent="0.35">
      <c r="M2394" s="22"/>
    </row>
    <row r="2395" spans="13:13" ht="18.899999999999999" customHeight="1" x14ac:dyDescent="0.35">
      <c r="M2395" s="22"/>
    </row>
    <row r="2396" spans="13:13" ht="18.899999999999999" customHeight="1" x14ac:dyDescent="0.35">
      <c r="M2396" s="22"/>
    </row>
    <row r="2397" spans="13:13" ht="18.899999999999999" customHeight="1" x14ac:dyDescent="0.35">
      <c r="M2397" s="22"/>
    </row>
    <row r="2398" spans="13:13" ht="18.899999999999999" customHeight="1" x14ac:dyDescent="0.35">
      <c r="M2398" s="22"/>
    </row>
    <row r="2399" spans="13:13" ht="18.899999999999999" customHeight="1" x14ac:dyDescent="0.35">
      <c r="M2399" s="22"/>
    </row>
    <row r="2400" spans="13:13" ht="18.899999999999999" customHeight="1" x14ac:dyDescent="0.35">
      <c r="M2400" s="22"/>
    </row>
    <row r="2401" spans="13:13" ht="18.899999999999999" customHeight="1" x14ac:dyDescent="0.35">
      <c r="M2401" s="22"/>
    </row>
    <row r="2402" spans="13:13" ht="18.899999999999999" customHeight="1" x14ac:dyDescent="0.35">
      <c r="M2402" s="22"/>
    </row>
    <row r="2403" spans="13:13" ht="18.899999999999999" customHeight="1" x14ac:dyDescent="0.35">
      <c r="M2403" s="22"/>
    </row>
    <row r="2404" spans="13:13" ht="18.899999999999999" customHeight="1" x14ac:dyDescent="0.35">
      <c r="M2404" s="22"/>
    </row>
    <row r="2405" spans="13:13" ht="18.899999999999999" customHeight="1" x14ac:dyDescent="0.35">
      <c r="M2405" s="22"/>
    </row>
    <row r="2406" spans="13:13" ht="18.899999999999999" customHeight="1" x14ac:dyDescent="0.35">
      <c r="M2406" s="22"/>
    </row>
    <row r="2407" spans="13:13" ht="18.899999999999999" customHeight="1" x14ac:dyDescent="0.35">
      <c r="M2407" s="22"/>
    </row>
    <row r="2408" spans="13:13" ht="18.899999999999999" customHeight="1" x14ac:dyDescent="0.35">
      <c r="M2408" s="22"/>
    </row>
    <row r="2409" spans="13:13" ht="18.899999999999999" customHeight="1" x14ac:dyDescent="0.35">
      <c r="M2409" s="22"/>
    </row>
    <row r="2410" spans="13:13" ht="18.899999999999999" customHeight="1" x14ac:dyDescent="0.35">
      <c r="M2410" s="22"/>
    </row>
    <row r="2411" spans="13:13" ht="18.899999999999999" customHeight="1" x14ac:dyDescent="0.35">
      <c r="M2411" s="22"/>
    </row>
    <row r="2412" spans="13:13" ht="18.899999999999999" customHeight="1" x14ac:dyDescent="0.35">
      <c r="M2412" s="22"/>
    </row>
    <row r="2413" spans="13:13" ht="18.899999999999999" customHeight="1" x14ac:dyDescent="0.35">
      <c r="M2413" s="22"/>
    </row>
    <row r="2414" spans="13:13" ht="18.899999999999999" customHeight="1" x14ac:dyDescent="0.35">
      <c r="M2414" s="22"/>
    </row>
    <row r="2415" spans="13:13" ht="18.899999999999999" customHeight="1" x14ac:dyDescent="0.35">
      <c r="M2415" s="22"/>
    </row>
    <row r="2416" spans="13:13" ht="18.899999999999999" customHeight="1" x14ac:dyDescent="0.35">
      <c r="M2416" s="22"/>
    </row>
    <row r="2417" spans="13:13" ht="18.899999999999999" customHeight="1" x14ac:dyDescent="0.35">
      <c r="M2417" s="22"/>
    </row>
    <row r="2418" spans="13:13" ht="18.899999999999999" customHeight="1" x14ac:dyDescent="0.35">
      <c r="M2418" s="22"/>
    </row>
    <row r="2419" spans="13:13" ht="18.899999999999999" customHeight="1" x14ac:dyDescent="0.35">
      <c r="M2419" s="22"/>
    </row>
    <row r="2420" spans="13:13" ht="18.899999999999999" customHeight="1" x14ac:dyDescent="0.35">
      <c r="M2420" s="22"/>
    </row>
    <row r="2421" spans="13:13" ht="18.899999999999999" customHeight="1" x14ac:dyDescent="0.35">
      <c r="M2421" s="22"/>
    </row>
    <row r="2422" spans="13:13" ht="18.899999999999999" customHeight="1" x14ac:dyDescent="0.35">
      <c r="M2422" s="22"/>
    </row>
    <row r="2423" spans="13:13" ht="18.899999999999999" customHeight="1" x14ac:dyDescent="0.35">
      <c r="M2423" s="22"/>
    </row>
    <row r="2424" spans="13:13" ht="18.899999999999999" customHeight="1" x14ac:dyDescent="0.35">
      <c r="M2424" s="22"/>
    </row>
    <row r="2425" spans="13:13" ht="18.899999999999999" customHeight="1" x14ac:dyDescent="0.35">
      <c r="M2425" s="22"/>
    </row>
    <row r="2426" spans="13:13" ht="18.899999999999999" customHeight="1" x14ac:dyDescent="0.35">
      <c r="M2426" s="22"/>
    </row>
    <row r="2427" spans="13:13" ht="18.899999999999999" customHeight="1" x14ac:dyDescent="0.35">
      <c r="M2427" s="22"/>
    </row>
    <row r="2428" spans="13:13" ht="18.899999999999999" customHeight="1" x14ac:dyDescent="0.35">
      <c r="M2428" s="22"/>
    </row>
    <row r="2429" spans="13:13" ht="18.899999999999999" customHeight="1" x14ac:dyDescent="0.35">
      <c r="M2429" s="22"/>
    </row>
    <row r="2430" spans="13:13" ht="18.899999999999999" customHeight="1" x14ac:dyDescent="0.35">
      <c r="M2430" s="22"/>
    </row>
    <row r="2431" spans="13:13" ht="18.899999999999999" customHeight="1" x14ac:dyDescent="0.35">
      <c r="M2431" s="22"/>
    </row>
    <row r="2432" spans="13:13" ht="18.899999999999999" customHeight="1" x14ac:dyDescent="0.35">
      <c r="M2432" s="22"/>
    </row>
    <row r="2433" spans="13:13" ht="18.899999999999999" customHeight="1" x14ac:dyDescent="0.35">
      <c r="M2433" s="22"/>
    </row>
    <row r="2434" spans="13:13" ht="18.899999999999999" customHeight="1" x14ac:dyDescent="0.35">
      <c r="M2434" s="22"/>
    </row>
    <row r="2435" spans="13:13" ht="18.899999999999999" customHeight="1" x14ac:dyDescent="0.35">
      <c r="M2435" s="22"/>
    </row>
    <row r="2436" spans="13:13" ht="18.899999999999999" customHeight="1" x14ac:dyDescent="0.35">
      <c r="M2436" s="22"/>
    </row>
    <row r="2437" spans="13:13" ht="18.899999999999999" customHeight="1" x14ac:dyDescent="0.35">
      <c r="M2437" s="22"/>
    </row>
    <row r="2438" spans="13:13" ht="18.899999999999999" customHeight="1" x14ac:dyDescent="0.35">
      <c r="M2438" s="22"/>
    </row>
    <row r="2439" spans="13:13" ht="18.899999999999999" customHeight="1" x14ac:dyDescent="0.35">
      <c r="M2439" s="22"/>
    </row>
    <row r="2440" spans="13:13" ht="18.899999999999999" customHeight="1" x14ac:dyDescent="0.35">
      <c r="M2440" s="22"/>
    </row>
    <row r="2441" spans="13:13" ht="18.899999999999999" customHeight="1" x14ac:dyDescent="0.35">
      <c r="M2441" s="22"/>
    </row>
    <row r="2442" spans="13:13" ht="18.899999999999999" customHeight="1" x14ac:dyDescent="0.35">
      <c r="M2442" s="22"/>
    </row>
    <row r="2443" spans="13:13" ht="18.899999999999999" customHeight="1" x14ac:dyDescent="0.35">
      <c r="M2443" s="22"/>
    </row>
    <row r="2444" spans="13:13" ht="18.899999999999999" customHeight="1" x14ac:dyDescent="0.35">
      <c r="M2444" s="22"/>
    </row>
    <row r="2445" spans="13:13" ht="18.899999999999999" customHeight="1" x14ac:dyDescent="0.35">
      <c r="M2445" s="22"/>
    </row>
    <row r="2446" spans="13:13" ht="18.899999999999999" customHeight="1" x14ac:dyDescent="0.35">
      <c r="M2446" s="22"/>
    </row>
    <row r="2447" spans="13:13" ht="18.899999999999999" customHeight="1" x14ac:dyDescent="0.35">
      <c r="M2447" s="22"/>
    </row>
    <row r="2448" spans="13:13" ht="18.899999999999999" customHeight="1" x14ac:dyDescent="0.35">
      <c r="M2448" s="22"/>
    </row>
    <row r="2449" spans="13:13" ht="18.899999999999999" customHeight="1" x14ac:dyDescent="0.35">
      <c r="M2449" s="22"/>
    </row>
    <row r="2450" spans="13:13" ht="18.899999999999999" customHeight="1" x14ac:dyDescent="0.35">
      <c r="M2450" s="22"/>
    </row>
    <row r="2451" spans="13:13" ht="18.899999999999999" customHeight="1" x14ac:dyDescent="0.35">
      <c r="M2451" s="22"/>
    </row>
    <row r="2452" spans="13:13" ht="18.899999999999999" customHeight="1" x14ac:dyDescent="0.35">
      <c r="M2452" s="22"/>
    </row>
    <row r="2453" spans="13:13" ht="18.899999999999999" customHeight="1" x14ac:dyDescent="0.35">
      <c r="M2453" s="22"/>
    </row>
    <row r="2454" spans="13:13" ht="18.899999999999999" customHeight="1" x14ac:dyDescent="0.35">
      <c r="M2454" s="22"/>
    </row>
    <row r="2455" spans="13:13" ht="18.899999999999999" customHeight="1" x14ac:dyDescent="0.35">
      <c r="M2455" s="22"/>
    </row>
    <row r="2456" spans="13:13" ht="18.899999999999999" customHeight="1" x14ac:dyDescent="0.35">
      <c r="M2456" s="22"/>
    </row>
    <row r="2457" spans="13:13" ht="18.899999999999999" customHeight="1" x14ac:dyDescent="0.35">
      <c r="M2457" s="22"/>
    </row>
    <row r="2458" spans="13:13" ht="18.899999999999999" customHeight="1" x14ac:dyDescent="0.35">
      <c r="M2458" s="22"/>
    </row>
    <row r="2459" spans="13:13" ht="18.899999999999999" customHeight="1" x14ac:dyDescent="0.35">
      <c r="M2459" s="22"/>
    </row>
    <row r="2460" spans="13:13" ht="18.899999999999999" customHeight="1" x14ac:dyDescent="0.35">
      <c r="M2460" s="22"/>
    </row>
    <row r="2461" spans="13:13" ht="18.899999999999999" customHeight="1" x14ac:dyDescent="0.35">
      <c r="M2461" s="22"/>
    </row>
    <row r="2462" spans="13:13" ht="18.899999999999999" customHeight="1" x14ac:dyDescent="0.35">
      <c r="M2462" s="22"/>
    </row>
    <row r="2463" spans="13:13" ht="18.899999999999999" customHeight="1" x14ac:dyDescent="0.35">
      <c r="M2463" s="22"/>
    </row>
    <row r="2464" spans="13:13" ht="18.899999999999999" customHeight="1" x14ac:dyDescent="0.35">
      <c r="M2464" s="22"/>
    </row>
    <row r="2465" spans="13:13" ht="18.899999999999999" customHeight="1" x14ac:dyDescent="0.35">
      <c r="M2465" s="22"/>
    </row>
    <row r="2466" spans="13:13" ht="18.899999999999999" customHeight="1" x14ac:dyDescent="0.35">
      <c r="M2466" s="22"/>
    </row>
    <row r="2467" spans="13:13" ht="18.899999999999999" customHeight="1" x14ac:dyDescent="0.35">
      <c r="M2467" s="22"/>
    </row>
    <row r="2468" spans="13:13" ht="18.899999999999999" customHeight="1" x14ac:dyDescent="0.35">
      <c r="M2468" s="22"/>
    </row>
    <row r="2469" spans="13:13" ht="18.899999999999999" customHeight="1" x14ac:dyDescent="0.35">
      <c r="M2469" s="22"/>
    </row>
    <row r="2470" spans="13:13" ht="18.899999999999999" customHeight="1" x14ac:dyDescent="0.35">
      <c r="M2470" s="22"/>
    </row>
    <row r="2471" spans="13:13" ht="18.899999999999999" customHeight="1" x14ac:dyDescent="0.35">
      <c r="M2471" s="22"/>
    </row>
    <row r="2472" spans="13:13" ht="18.899999999999999" customHeight="1" x14ac:dyDescent="0.35">
      <c r="M2472" s="22"/>
    </row>
    <row r="2473" spans="13:13" ht="18.899999999999999" customHeight="1" x14ac:dyDescent="0.35">
      <c r="M2473" s="22"/>
    </row>
    <row r="2474" spans="13:13" ht="18.899999999999999" customHeight="1" x14ac:dyDescent="0.35">
      <c r="M2474" s="22"/>
    </row>
    <row r="2475" spans="13:13" ht="18.899999999999999" customHeight="1" x14ac:dyDescent="0.35">
      <c r="M2475" s="22"/>
    </row>
    <row r="2476" spans="13:13" ht="18.899999999999999" customHeight="1" x14ac:dyDescent="0.35">
      <c r="M2476" s="22"/>
    </row>
    <row r="2477" spans="13:13" ht="18.899999999999999" customHeight="1" x14ac:dyDescent="0.35">
      <c r="M2477" s="22"/>
    </row>
    <row r="2478" spans="13:13" ht="18.899999999999999" customHeight="1" x14ac:dyDescent="0.35">
      <c r="M2478" s="22"/>
    </row>
    <row r="2479" spans="13:13" ht="18.899999999999999" customHeight="1" x14ac:dyDescent="0.35">
      <c r="M2479" s="22"/>
    </row>
    <row r="2480" spans="13:13" ht="18.899999999999999" customHeight="1" x14ac:dyDescent="0.35">
      <c r="M2480" s="22"/>
    </row>
    <row r="2481" spans="13:13" ht="18.899999999999999" customHeight="1" x14ac:dyDescent="0.35">
      <c r="M2481" s="22"/>
    </row>
    <row r="2482" spans="13:13" ht="18.899999999999999" customHeight="1" x14ac:dyDescent="0.35">
      <c r="M2482" s="22"/>
    </row>
    <row r="2483" spans="13:13" ht="18.899999999999999" customHeight="1" x14ac:dyDescent="0.35">
      <c r="M2483" s="22"/>
    </row>
    <row r="2484" spans="13:13" ht="18.899999999999999" customHeight="1" x14ac:dyDescent="0.35">
      <c r="M2484" s="22"/>
    </row>
    <row r="2485" spans="13:13" ht="18.899999999999999" customHeight="1" x14ac:dyDescent="0.35">
      <c r="M2485" s="22"/>
    </row>
    <row r="2486" spans="13:13" ht="18.899999999999999" customHeight="1" x14ac:dyDescent="0.35">
      <c r="M2486" s="22"/>
    </row>
    <row r="2487" spans="13:13" ht="18.899999999999999" customHeight="1" x14ac:dyDescent="0.35">
      <c r="M2487" s="22"/>
    </row>
    <row r="2488" spans="13:13" ht="18.899999999999999" customHeight="1" x14ac:dyDescent="0.35">
      <c r="M2488" s="22"/>
    </row>
    <row r="2489" spans="13:13" ht="18.899999999999999" customHeight="1" x14ac:dyDescent="0.35">
      <c r="M2489" s="22"/>
    </row>
    <row r="2490" spans="13:13" ht="18.899999999999999" customHeight="1" x14ac:dyDescent="0.35">
      <c r="M2490" s="22"/>
    </row>
    <row r="2491" spans="13:13" ht="18.899999999999999" customHeight="1" x14ac:dyDescent="0.35">
      <c r="M2491" s="22"/>
    </row>
    <row r="2492" spans="13:13" ht="18.899999999999999" customHeight="1" x14ac:dyDescent="0.35">
      <c r="M2492" s="22"/>
    </row>
    <row r="2493" spans="13:13" ht="18.899999999999999" customHeight="1" x14ac:dyDescent="0.35">
      <c r="M2493" s="22"/>
    </row>
    <row r="2494" spans="13:13" ht="18.899999999999999" customHeight="1" x14ac:dyDescent="0.35">
      <c r="M2494" s="22"/>
    </row>
    <row r="2495" spans="13:13" ht="18.899999999999999" customHeight="1" x14ac:dyDescent="0.35">
      <c r="M2495" s="22"/>
    </row>
    <row r="2496" spans="13:13" ht="18.899999999999999" customHeight="1" x14ac:dyDescent="0.35">
      <c r="M2496" s="22"/>
    </row>
    <row r="2497" spans="13:13" ht="18.899999999999999" customHeight="1" x14ac:dyDescent="0.35">
      <c r="M2497" s="22"/>
    </row>
    <row r="2498" spans="13:13" ht="18.899999999999999" customHeight="1" x14ac:dyDescent="0.35">
      <c r="M2498" s="22"/>
    </row>
    <row r="2499" spans="13:13" ht="18.899999999999999" customHeight="1" x14ac:dyDescent="0.35">
      <c r="M2499" s="22"/>
    </row>
    <row r="2500" spans="13:13" ht="18.899999999999999" customHeight="1" x14ac:dyDescent="0.35">
      <c r="M2500" s="22"/>
    </row>
    <row r="2501" spans="13:13" ht="18.899999999999999" customHeight="1" x14ac:dyDescent="0.35">
      <c r="M2501" s="22"/>
    </row>
    <row r="2502" spans="13:13" ht="18.899999999999999" customHeight="1" x14ac:dyDescent="0.35">
      <c r="M2502" s="22"/>
    </row>
    <row r="2503" spans="13:13" ht="18.899999999999999" customHeight="1" x14ac:dyDescent="0.35">
      <c r="M2503" s="22"/>
    </row>
    <row r="2504" spans="13:13" ht="18.899999999999999" customHeight="1" x14ac:dyDescent="0.35">
      <c r="M2504" s="22"/>
    </row>
    <row r="2505" spans="13:13" ht="18.899999999999999" customHeight="1" x14ac:dyDescent="0.35">
      <c r="M2505" s="22"/>
    </row>
    <row r="2506" spans="13:13" ht="18.899999999999999" customHeight="1" x14ac:dyDescent="0.35">
      <c r="M2506" s="22"/>
    </row>
    <row r="2507" spans="13:13" ht="18.899999999999999" customHeight="1" x14ac:dyDescent="0.35">
      <c r="M2507" s="22"/>
    </row>
    <row r="2508" spans="13:13" ht="18.899999999999999" customHeight="1" x14ac:dyDescent="0.35">
      <c r="M2508" s="22"/>
    </row>
    <row r="2509" spans="13:13" ht="18.899999999999999" customHeight="1" x14ac:dyDescent="0.35">
      <c r="M2509" s="22"/>
    </row>
    <row r="2510" spans="13:13" ht="18.899999999999999" customHeight="1" x14ac:dyDescent="0.35">
      <c r="M2510" s="22"/>
    </row>
    <row r="2511" spans="13:13" ht="18.899999999999999" customHeight="1" x14ac:dyDescent="0.35">
      <c r="M2511" s="22"/>
    </row>
    <row r="2512" spans="13:13" ht="18.899999999999999" customHeight="1" x14ac:dyDescent="0.35">
      <c r="M2512" s="22"/>
    </row>
    <row r="2513" spans="13:13" ht="18.899999999999999" customHeight="1" x14ac:dyDescent="0.35">
      <c r="M2513" s="22"/>
    </row>
    <row r="2514" spans="13:13" ht="18.899999999999999" customHeight="1" x14ac:dyDescent="0.35">
      <c r="M2514" s="22"/>
    </row>
    <row r="2515" spans="13:13" ht="18.899999999999999" customHeight="1" x14ac:dyDescent="0.35">
      <c r="M2515" s="22"/>
    </row>
    <row r="2516" spans="13:13" ht="18.899999999999999" customHeight="1" x14ac:dyDescent="0.35">
      <c r="M2516" s="22"/>
    </row>
    <row r="2517" spans="13:13" ht="18.899999999999999" customHeight="1" x14ac:dyDescent="0.35">
      <c r="M2517" s="22"/>
    </row>
    <row r="2518" spans="13:13" ht="18.899999999999999" customHeight="1" x14ac:dyDescent="0.35">
      <c r="M2518" s="22"/>
    </row>
    <row r="2519" spans="13:13" ht="18.899999999999999" customHeight="1" x14ac:dyDescent="0.35">
      <c r="M2519" s="22"/>
    </row>
    <row r="2520" spans="13:13" ht="18.899999999999999" customHeight="1" x14ac:dyDescent="0.35">
      <c r="M2520" s="22"/>
    </row>
    <row r="2521" spans="13:13" ht="18.899999999999999" customHeight="1" x14ac:dyDescent="0.35">
      <c r="M2521" s="22"/>
    </row>
    <row r="2522" spans="13:13" ht="18.899999999999999" customHeight="1" x14ac:dyDescent="0.35">
      <c r="M2522" s="22"/>
    </row>
    <row r="2523" spans="13:13" ht="18.899999999999999" customHeight="1" x14ac:dyDescent="0.35">
      <c r="M2523" s="22"/>
    </row>
    <row r="2524" spans="13:13" ht="18.899999999999999" customHeight="1" x14ac:dyDescent="0.35">
      <c r="M2524" s="22"/>
    </row>
    <row r="2525" spans="13:13" ht="18.899999999999999" customHeight="1" x14ac:dyDescent="0.35">
      <c r="M2525" s="22"/>
    </row>
    <row r="2526" spans="13:13" ht="18.899999999999999" customHeight="1" x14ac:dyDescent="0.35">
      <c r="M2526" s="22"/>
    </row>
    <row r="2527" spans="13:13" ht="18.899999999999999" customHeight="1" x14ac:dyDescent="0.35">
      <c r="M2527" s="22"/>
    </row>
    <row r="2528" spans="13:13" ht="18.899999999999999" customHeight="1" x14ac:dyDescent="0.35">
      <c r="M2528" s="22"/>
    </row>
    <row r="2529" spans="13:13" ht="18.899999999999999" customHeight="1" x14ac:dyDescent="0.35">
      <c r="M2529" s="22"/>
    </row>
    <row r="2530" spans="13:13" ht="18.899999999999999" customHeight="1" x14ac:dyDescent="0.35">
      <c r="M2530" s="22"/>
    </row>
    <row r="2531" spans="13:13" ht="18.899999999999999" customHeight="1" x14ac:dyDescent="0.35">
      <c r="M2531" s="22"/>
    </row>
    <row r="2532" spans="13:13" ht="18.899999999999999" customHeight="1" x14ac:dyDescent="0.35">
      <c r="M2532" s="22"/>
    </row>
    <row r="2533" spans="13:13" ht="18.899999999999999" customHeight="1" x14ac:dyDescent="0.35">
      <c r="M2533" s="22"/>
    </row>
    <row r="2534" spans="13:13" ht="18.899999999999999" customHeight="1" x14ac:dyDescent="0.35">
      <c r="M2534" s="22"/>
    </row>
    <row r="2535" spans="13:13" ht="18.899999999999999" customHeight="1" x14ac:dyDescent="0.35">
      <c r="M2535" s="22"/>
    </row>
    <row r="2536" spans="13:13" ht="18.899999999999999" customHeight="1" x14ac:dyDescent="0.35">
      <c r="M2536" s="22"/>
    </row>
    <row r="2537" spans="13:13" ht="18.899999999999999" customHeight="1" x14ac:dyDescent="0.35">
      <c r="M2537" s="22"/>
    </row>
    <row r="2538" spans="13:13" ht="18.899999999999999" customHeight="1" x14ac:dyDescent="0.35">
      <c r="M2538" s="22"/>
    </row>
    <row r="2539" spans="13:13" ht="18.899999999999999" customHeight="1" x14ac:dyDescent="0.35">
      <c r="M2539" s="22"/>
    </row>
    <row r="2540" spans="13:13" ht="18.899999999999999" customHeight="1" x14ac:dyDescent="0.35">
      <c r="M2540" s="22"/>
    </row>
    <row r="2541" spans="13:13" ht="18.899999999999999" customHeight="1" x14ac:dyDescent="0.35">
      <c r="M2541" s="22"/>
    </row>
    <row r="2542" spans="13:13" ht="18.899999999999999" customHeight="1" x14ac:dyDescent="0.35">
      <c r="M2542" s="22"/>
    </row>
    <row r="2543" spans="13:13" ht="18.899999999999999" customHeight="1" x14ac:dyDescent="0.35">
      <c r="M2543" s="22"/>
    </row>
    <row r="2544" spans="13:13" ht="18.899999999999999" customHeight="1" x14ac:dyDescent="0.35">
      <c r="M2544" s="22"/>
    </row>
    <row r="2545" spans="13:13" ht="18.899999999999999" customHeight="1" x14ac:dyDescent="0.35">
      <c r="M2545" s="22"/>
    </row>
    <row r="2546" spans="13:13" ht="18.899999999999999" customHeight="1" x14ac:dyDescent="0.35">
      <c r="M2546" s="22"/>
    </row>
    <row r="2547" spans="13:13" ht="18.899999999999999" customHeight="1" x14ac:dyDescent="0.35">
      <c r="M2547" s="22"/>
    </row>
    <row r="2548" spans="13:13" ht="18.899999999999999" customHeight="1" x14ac:dyDescent="0.35">
      <c r="M2548" s="22"/>
    </row>
    <row r="2549" spans="13:13" ht="18.899999999999999" customHeight="1" x14ac:dyDescent="0.35">
      <c r="M2549" s="22"/>
    </row>
    <row r="2550" spans="13:13" ht="18.899999999999999" customHeight="1" x14ac:dyDescent="0.35">
      <c r="M2550" s="22"/>
    </row>
    <row r="2551" spans="13:13" ht="18.899999999999999" customHeight="1" x14ac:dyDescent="0.35">
      <c r="M2551" s="22"/>
    </row>
    <row r="2552" spans="13:13" ht="18.899999999999999" customHeight="1" x14ac:dyDescent="0.35">
      <c r="M2552" s="22"/>
    </row>
    <row r="2553" spans="13:13" ht="18.899999999999999" customHeight="1" x14ac:dyDescent="0.35">
      <c r="M2553" s="22"/>
    </row>
    <row r="2554" spans="13:13" ht="18.899999999999999" customHeight="1" x14ac:dyDescent="0.35">
      <c r="M2554" s="22"/>
    </row>
    <row r="2555" spans="13:13" ht="18.899999999999999" customHeight="1" x14ac:dyDescent="0.35">
      <c r="M2555" s="22"/>
    </row>
    <row r="2556" spans="13:13" ht="18.899999999999999" customHeight="1" x14ac:dyDescent="0.35">
      <c r="M2556" s="22"/>
    </row>
    <row r="2557" spans="13:13" ht="18.899999999999999" customHeight="1" x14ac:dyDescent="0.35">
      <c r="M2557" s="22"/>
    </row>
    <row r="2558" spans="13:13" ht="18.899999999999999" customHeight="1" x14ac:dyDescent="0.35">
      <c r="M2558" s="22"/>
    </row>
    <row r="2559" spans="13:13" ht="18.899999999999999" customHeight="1" x14ac:dyDescent="0.35">
      <c r="M2559" s="22"/>
    </row>
    <row r="2560" spans="13:13" ht="18.899999999999999" customHeight="1" x14ac:dyDescent="0.35">
      <c r="M2560" s="22"/>
    </row>
    <row r="2561" spans="13:13" ht="18.899999999999999" customHeight="1" x14ac:dyDescent="0.35">
      <c r="M2561" s="22"/>
    </row>
    <row r="2562" spans="13:13" ht="18.899999999999999" customHeight="1" x14ac:dyDescent="0.35">
      <c r="M2562" s="22"/>
    </row>
    <row r="2563" spans="13:13" ht="18.899999999999999" customHeight="1" x14ac:dyDescent="0.35">
      <c r="M2563" s="22"/>
    </row>
    <row r="2564" spans="13:13" ht="18.899999999999999" customHeight="1" x14ac:dyDescent="0.35">
      <c r="M2564" s="22"/>
    </row>
    <row r="2565" spans="13:13" ht="18.899999999999999" customHeight="1" x14ac:dyDescent="0.35">
      <c r="M2565" s="22"/>
    </row>
    <row r="2566" spans="13:13" ht="18.899999999999999" customHeight="1" x14ac:dyDescent="0.35">
      <c r="M2566" s="22"/>
    </row>
    <row r="2567" spans="13:13" ht="18.899999999999999" customHeight="1" x14ac:dyDescent="0.35">
      <c r="M2567" s="22"/>
    </row>
    <row r="2568" spans="13:13" ht="18.899999999999999" customHeight="1" x14ac:dyDescent="0.35">
      <c r="M2568" s="22"/>
    </row>
    <row r="2569" spans="13:13" ht="18.899999999999999" customHeight="1" x14ac:dyDescent="0.35">
      <c r="M2569" s="22"/>
    </row>
    <row r="2570" spans="13:13" ht="18.899999999999999" customHeight="1" x14ac:dyDescent="0.35">
      <c r="M2570" s="22"/>
    </row>
    <row r="2571" spans="13:13" ht="18.899999999999999" customHeight="1" x14ac:dyDescent="0.35">
      <c r="M2571" s="22"/>
    </row>
    <row r="2572" spans="13:13" ht="18.899999999999999" customHeight="1" x14ac:dyDescent="0.35">
      <c r="M2572" s="22"/>
    </row>
    <row r="2573" spans="13:13" ht="18.899999999999999" customHeight="1" x14ac:dyDescent="0.35">
      <c r="M2573" s="22"/>
    </row>
    <row r="2574" spans="13:13" ht="18.899999999999999" customHeight="1" x14ac:dyDescent="0.35">
      <c r="M2574" s="22"/>
    </row>
    <row r="2575" spans="13:13" ht="18.899999999999999" customHeight="1" x14ac:dyDescent="0.35">
      <c r="M2575" s="22"/>
    </row>
    <row r="2576" spans="13:13" ht="18.899999999999999" customHeight="1" x14ac:dyDescent="0.35">
      <c r="M2576" s="22"/>
    </row>
    <row r="2577" spans="13:13" ht="18.899999999999999" customHeight="1" x14ac:dyDescent="0.35">
      <c r="M2577" s="22"/>
    </row>
    <row r="2578" spans="13:13" ht="18.899999999999999" customHeight="1" x14ac:dyDescent="0.35">
      <c r="M2578" s="22"/>
    </row>
    <row r="2579" spans="13:13" ht="18.899999999999999" customHeight="1" x14ac:dyDescent="0.35">
      <c r="M2579" s="22"/>
    </row>
    <row r="2580" spans="13:13" ht="18.899999999999999" customHeight="1" x14ac:dyDescent="0.35">
      <c r="M2580" s="22"/>
    </row>
    <row r="2581" spans="13:13" ht="18.899999999999999" customHeight="1" x14ac:dyDescent="0.35">
      <c r="M2581" s="22"/>
    </row>
    <row r="2582" spans="13:13" ht="18.899999999999999" customHeight="1" x14ac:dyDescent="0.35">
      <c r="M2582" s="22"/>
    </row>
    <row r="2583" spans="13:13" ht="18.899999999999999" customHeight="1" x14ac:dyDescent="0.35">
      <c r="M2583" s="22"/>
    </row>
    <row r="2584" spans="13:13" ht="18.899999999999999" customHeight="1" x14ac:dyDescent="0.35">
      <c r="M2584" s="22"/>
    </row>
    <row r="2585" spans="13:13" ht="18.899999999999999" customHeight="1" x14ac:dyDescent="0.35">
      <c r="M2585" s="22"/>
    </row>
    <row r="2586" spans="13:13" ht="18.899999999999999" customHeight="1" x14ac:dyDescent="0.35">
      <c r="M2586" s="22"/>
    </row>
    <row r="2587" spans="13:13" ht="18.899999999999999" customHeight="1" x14ac:dyDescent="0.35">
      <c r="M2587" s="22"/>
    </row>
    <row r="2588" spans="13:13" ht="18.899999999999999" customHeight="1" x14ac:dyDescent="0.35">
      <c r="M2588" s="22"/>
    </row>
    <row r="2589" spans="13:13" ht="18.899999999999999" customHeight="1" x14ac:dyDescent="0.35">
      <c r="M2589" s="22"/>
    </row>
    <row r="2590" spans="13:13" ht="18.899999999999999" customHeight="1" x14ac:dyDescent="0.35">
      <c r="M2590" s="22"/>
    </row>
    <row r="2591" spans="13:13" ht="18.899999999999999" customHeight="1" x14ac:dyDescent="0.35">
      <c r="M2591" s="22"/>
    </row>
    <row r="2592" spans="13:13" ht="18.899999999999999" customHeight="1" x14ac:dyDescent="0.35">
      <c r="M2592" s="22"/>
    </row>
    <row r="2593" spans="13:13" ht="18.899999999999999" customHeight="1" x14ac:dyDescent="0.35">
      <c r="M2593" s="22"/>
    </row>
    <row r="2594" spans="13:13" ht="18.899999999999999" customHeight="1" x14ac:dyDescent="0.35">
      <c r="M2594" s="22"/>
    </row>
    <row r="2595" spans="13:13" ht="18.899999999999999" customHeight="1" x14ac:dyDescent="0.35">
      <c r="M2595" s="22"/>
    </row>
    <row r="2596" spans="13:13" ht="18.899999999999999" customHeight="1" x14ac:dyDescent="0.35">
      <c r="M2596" s="22"/>
    </row>
    <row r="2597" spans="13:13" ht="18.899999999999999" customHeight="1" x14ac:dyDescent="0.35">
      <c r="M2597" s="22"/>
    </row>
    <row r="2598" spans="13:13" ht="18.899999999999999" customHeight="1" x14ac:dyDescent="0.35">
      <c r="M2598" s="22"/>
    </row>
    <row r="2599" spans="13:13" ht="18.899999999999999" customHeight="1" x14ac:dyDescent="0.35">
      <c r="M2599" s="22"/>
    </row>
    <row r="2600" spans="13:13" ht="18.899999999999999" customHeight="1" x14ac:dyDescent="0.35">
      <c r="M2600" s="22"/>
    </row>
    <row r="2601" spans="13:13" ht="18.899999999999999" customHeight="1" x14ac:dyDescent="0.35">
      <c r="M2601" s="22"/>
    </row>
    <row r="2602" spans="13:13" ht="18.899999999999999" customHeight="1" x14ac:dyDescent="0.35">
      <c r="M2602" s="22"/>
    </row>
    <row r="2603" spans="13:13" ht="18.899999999999999" customHeight="1" x14ac:dyDescent="0.35">
      <c r="M2603" s="22"/>
    </row>
    <row r="2604" spans="13:13" ht="18.899999999999999" customHeight="1" x14ac:dyDescent="0.35">
      <c r="M2604" s="22"/>
    </row>
    <row r="2605" spans="13:13" ht="18.899999999999999" customHeight="1" x14ac:dyDescent="0.35">
      <c r="M2605" s="22"/>
    </row>
    <row r="2606" spans="13:13" ht="18.899999999999999" customHeight="1" x14ac:dyDescent="0.35">
      <c r="M2606" s="22"/>
    </row>
    <row r="2607" spans="13:13" ht="18.899999999999999" customHeight="1" x14ac:dyDescent="0.35">
      <c r="M2607" s="22"/>
    </row>
    <row r="2608" spans="13:13" ht="18.899999999999999" customHeight="1" x14ac:dyDescent="0.35">
      <c r="M2608" s="22"/>
    </row>
    <row r="2609" spans="13:13" ht="18.899999999999999" customHeight="1" x14ac:dyDescent="0.35">
      <c r="M2609" s="22"/>
    </row>
    <row r="2610" spans="13:13" ht="18.899999999999999" customHeight="1" x14ac:dyDescent="0.35">
      <c r="M2610" s="22"/>
    </row>
    <row r="2611" spans="13:13" ht="18.899999999999999" customHeight="1" x14ac:dyDescent="0.35">
      <c r="M2611" s="22"/>
    </row>
    <row r="2612" spans="13:13" ht="18.899999999999999" customHeight="1" x14ac:dyDescent="0.35">
      <c r="M2612" s="22"/>
    </row>
    <row r="2613" spans="13:13" ht="18.899999999999999" customHeight="1" x14ac:dyDescent="0.35">
      <c r="M2613" s="22"/>
    </row>
    <row r="2614" spans="13:13" ht="18.899999999999999" customHeight="1" x14ac:dyDescent="0.35">
      <c r="M2614" s="22"/>
    </row>
    <row r="2615" spans="13:13" ht="18.899999999999999" customHeight="1" x14ac:dyDescent="0.35">
      <c r="M2615" s="22"/>
    </row>
    <row r="2616" spans="13:13" ht="18.899999999999999" customHeight="1" x14ac:dyDescent="0.35">
      <c r="M2616" s="22"/>
    </row>
    <row r="2617" spans="13:13" ht="18.899999999999999" customHeight="1" x14ac:dyDescent="0.35">
      <c r="M2617" s="22"/>
    </row>
    <row r="2618" spans="13:13" ht="18.899999999999999" customHeight="1" x14ac:dyDescent="0.35">
      <c r="M2618" s="22"/>
    </row>
    <row r="2619" spans="13:13" ht="18.899999999999999" customHeight="1" x14ac:dyDescent="0.35">
      <c r="M2619" s="22"/>
    </row>
    <row r="2620" spans="13:13" ht="18.899999999999999" customHeight="1" x14ac:dyDescent="0.35">
      <c r="M2620" s="22"/>
    </row>
    <row r="2621" spans="13:13" ht="18.899999999999999" customHeight="1" x14ac:dyDescent="0.35">
      <c r="M2621" s="22"/>
    </row>
    <row r="2622" spans="13:13" ht="18.899999999999999" customHeight="1" x14ac:dyDescent="0.35">
      <c r="M2622" s="22"/>
    </row>
    <row r="2623" spans="13:13" ht="18.899999999999999" customHeight="1" x14ac:dyDescent="0.35">
      <c r="M2623" s="22"/>
    </row>
    <row r="2624" spans="13:13" ht="18.899999999999999" customHeight="1" x14ac:dyDescent="0.35">
      <c r="M2624" s="22"/>
    </row>
    <row r="2625" spans="13:13" ht="18.899999999999999" customHeight="1" x14ac:dyDescent="0.35">
      <c r="M2625" s="22"/>
    </row>
    <row r="2626" spans="13:13" ht="18.899999999999999" customHeight="1" x14ac:dyDescent="0.35">
      <c r="M2626" s="22"/>
    </row>
    <row r="2627" spans="13:13" ht="18.899999999999999" customHeight="1" x14ac:dyDescent="0.35">
      <c r="M2627" s="22"/>
    </row>
    <row r="2628" spans="13:13" ht="18.899999999999999" customHeight="1" x14ac:dyDescent="0.35">
      <c r="M2628" s="22"/>
    </row>
    <row r="2629" spans="13:13" ht="18.899999999999999" customHeight="1" x14ac:dyDescent="0.35">
      <c r="M2629" s="22"/>
    </row>
    <row r="2630" spans="13:13" ht="18.899999999999999" customHeight="1" x14ac:dyDescent="0.35">
      <c r="M2630" s="22"/>
    </row>
    <row r="2631" spans="13:13" ht="18.899999999999999" customHeight="1" x14ac:dyDescent="0.35">
      <c r="M2631" s="22"/>
    </row>
    <row r="2632" spans="13:13" ht="18.899999999999999" customHeight="1" x14ac:dyDescent="0.35">
      <c r="M2632" s="22"/>
    </row>
    <row r="2633" spans="13:13" ht="18.899999999999999" customHeight="1" x14ac:dyDescent="0.35">
      <c r="M2633" s="22"/>
    </row>
    <row r="2634" spans="13:13" ht="18.899999999999999" customHeight="1" x14ac:dyDescent="0.35">
      <c r="M2634" s="22"/>
    </row>
    <row r="2635" spans="13:13" ht="18.899999999999999" customHeight="1" x14ac:dyDescent="0.35">
      <c r="M2635" s="22"/>
    </row>
    <row r="2636" spans="13:13" ht="18.899999999999999" customHeight="1" x14ac:dyDescent="0.35">
      <c r="M2636" s="22"/>
    </row>
    <row r="2637" spans="13:13" ht="18.899999999999999" customHeight="1" x14ac:dyDescent="0.35">
      <c r="M2637" s="22"/>
    </row>
    <row r="2638" spans="13:13" ht="18.899999999999999" customHeight="1" x14ac:dyDescent="0.35">
      <c r="M2638" s="22"/>
    </row>
    <row r="2639" spans="13:13" ht="18.899999999999999" customHeight="1" x14ac:dyDescent="0.35">
      <c r="M2639" s="22"/>
    </row>
    <row r="2640" spans="13:13" ht="18.899999999999999" customHeight="1" x14ac:dyDescent="0.35">
      <c r="M2640" s="22"/>
    </row>
    <row r="2641" spans="13:13" ht="18.899999999999999" customHeight="1" x14ac:dyDescent="0.35">
      <c r="M2641" s="22"/>
    </row>
    <row r="2642" spans="13:13" ht="18.899999999999999" customHeight="1" x14ac:dyDescent="0.35">
      <c r="M2642" s="22"/>
    </row>
    <row r="2643" spans="13:13" ht="18.899999999999999" customHeight="1" x14ac:dyDescent="0.35">
      <c r="M2643" s="22"/>
    </row>
    <row r="2644" spans="13:13" ht="18.899999999999999" customHeight="1" x14ac:dyDescent="0.35">
      <c r="M2644" s="22"/>
    </row>
    <row r="2645" spans="13:13" ht="18.899999999999999" customHeight="1" x14ac:dyDescent="0.35">
      <c r="M2645" s="22"/>
    </row>
    <row r="2646" spans="13:13" ht="18.899999999999999" customHeight="1" x14ac:dyDescent="0.35">
      <c r="M2646" s="22"/>
    </row>
    <row r="2647" spans="13:13" ht="18.899999999999999" customHeight="1" x14ac:dyDescent="0.35">
      <c r="M2647" s="22"/>
    </row>
    <row r="2648" spans="13:13" ht="18.899999999999999" customHeight="1" x14ac:dyDescent="0.35">
      <c r="M2648" s="22"/>
    </row>
    <row r="2649" spans="13:13" ht="18.899999999999999" customHeight="1" x14ac:dyDescent="0.35">
      <c r="M2649" s="22"/>
    </row>
    <row r="2650" spans="13:13" ht="18.899999999999999" customHeight="1" x14ac:dyDescent="0.35">
      <c r="M2650" s="22"/>
    </row>
    <row r="2651" spans="13:13" ht="18.899999999999999" customHeight="1" x14ac:dyDescent="0.35">
      <c r="M2651" s="22"/>
    </row>
    <row r="2652" spans="13:13" ht="18.899999999999999" customHeight="1" x14ac:dyDescent="0.35">
      <c r="M2652" s="22"/>
    </row>
    <row r="2653" spans="13:13" ht="18.899999999999999" customHeight="1" x14ac:dyDescent="0.35">
      <c r="M2653" s="22"/>
    </row>
    <row r="2654" spans="13:13" ht="18.899999999999999" customHeight="1" x14ac:dyDescent="0.35">
      <c r="M2654" s="22"/>
    </row>
    <row r="2655" spans="13:13" ht="18.899999999999999" customHeight="1" x14ac:dyDescent="0.35">
      <c r="M2655" s="22"/>
    </row>
    <row r="2656" spans="13:13" ht="18.899999999999999" customHeight="1" x14ac:dyDescent="0.35">
      <c r="M2656" s="22"/>
    </row>
    <row r="2657" spans="13:13" ht="18.899999999999999" customHeight="1" x14ac:dyDescent="0.35">
      <c r="M2657" s="22"/>
    </row>
    <row r="2658" spans="13:13" ht="18.899999999999999" customHeight="1" x14ac:dyDescent="0.35">
      <c r="M2658" s="22"/>
    </row>
    <row r="2659" spans="13:13" ht="18.899999999999999" customHeight="1" x14ac:dyDescent="0.35">
      <c r="M2659" s="22"/>
    </row>
    <row r="2660" spans="13:13" ht="18.899999999999999" customHeight="1" x14ac:dyDescent="0.35">
      <c r="M2660" s="22"/>
    </row>
    <row r="2661" spans="13:13" ht="18.899999999999999" customHeight="1" x14ac:dyDescent="0.35">
      <c r="M2661" s="22"/>
    </row>
    <row r="2662" spans="13:13" ht="18.899999999999999" customHeight="1" x14ac:dyDescent="0.35">
      <c r="M2662" s="22"/>
    </row>
    <row r="2663" spans="13:13" ht="18.899999999999999" customHeight="1" x14ac:dyDescent="0.35">
      <c r="M2663" s="22"/>
    </row>
    <row r="2664" spans="13:13" ht="18.899999999999999" customHeight="1" x14ac:dyDescent="0.35">
      <c r="M2664" s="22"/>
    </row>
    <row r="2665" spans="13:13" ht="18.899999999999999" customHeight="1" x14ac:dyDescent="0.35">
      <c r="M2665" s="22"/>
    </row>
    <row r="2666" spans="13:13" ht="18.899999999999999" customHeight="1" x14ac:dyDescent="0.35">
      <c r="M2666" s="22"/>
    </row>
    <row r="2667" spans="13:13" ht="18.899999999999999" customHeight="1" x14ac:dyDescent="0.35">
      <c r="M2667" s="22"/>
    </row>
    <row r="2668" spans="13:13" ht="18.899999999999999" customHeight="1" x14ac:dyDescent="0.35">
      <c r="M2668" s="22"/>
    </row>
    <row r="2669" spans="13:13" ht="18.899999999999999" customHeight="1" x14ac:dyDescent="0.35">
      <c r="M2669" s="22"/>
    </row>
    <row r="2670" spans="13:13" ht="18.899999999999999" customHeight="1" x14ac:dyDescent="0.35">
      <c r="M2670" s="22"/>
    </row>
    <row r="2671" spans="13:13" ht="18.899999999999999" customHeight="1" x14ac:dyDescent="0.35">
      <c r="M2671" s="22"/>
    </row>
    <row r="2672" spans="13:13" ht="18.899999999999999" customHeight="1" x14ac:dyDescent="0.35">
      <c r="M2672" s="22"/>
    </row>
    <row r="2673" spans="13:13" ht="18.899999999999999" customHeight="1" x14ac:dyDescent="0.35">
      <c r="M2673" s="22"/>
    </row>
    <row r="2674" spans="13:13" ht="18.899999999999999" customHeight="1" x14ac:dyDescent="0.35">
      <c r="M2674" s="22"/>
    </row>
    <row r="2675" spans="13:13" ht="18.899999999999999" customHeight="1" x14ac:dyDescent="0.35">
      <c r="M2675" s="22"/>
    </row>
    <row r="2676" spans="13:13" ht="18.899999999999999" customHeight="1" x14ac:dyDescent="0.35">
      <c r="M2676" s="22"/>
    </row>
    <row r="2677" spans="13:13" ht="18.899999999999999" customHeight="1" x14ac:dyDescent="0.35">
      <c r="M2677" s="22"/>
    </row>
    <row r="2678" spans="13:13" ht="18.899999999999999" customHeight="1" x14ac:dyDescent="0.35">
      <c r="M2678" s="22"/>
    </row>
    <row r="2679" spans="13:13" ht="18.899999999999999" customHeight="1" x14ac:dyDescent="0.35">
      <c r="M2679" s="22"/>
    </row>
    <row r="2680" spans="13:13" ht="18.899999999999999" customHeight="1" x14ac:dyDescent="0.35">
      <c r="M2680" s="22"/>
    </row>
    <row r="2681" spans="13:13" ht="18.899999999999999" customHeight="1" x14ac:dyDescent="0.35">
      <c r="M2681" s="22"/>
    </row>
    <row r="2682" spans="13:13" ht="18.899999999999999" customHeight="1" x14ac:dyDescent="0.35">
      <c r="M2682" s="22"/>
    </row>
    <row r="2683" spans="13:13" ht="18.899999999999999" customHeight="1" x14ac:dyDescent="0.35">
      <c r="M2683" s="22"/>
    </row>
    <row r="2684" spans="13:13" ht="18.899999999999999" customHeight="1" x14ac:dyDescent="0.35">
      <c r="M2684" s="22"/>
    </row>
    <row r="2685" spans="13:13" ht="18.899999999999999" customHeight="1" x14ac:dyDescent="0.35">
      <c r="M2685" s="22"/>
    </row>
    <row r="2686" spans="13:13" ht="18.899999999999999" customHeight="1" x14ac:dyDescent="0.35">
      <c r="M2686" s="22"/>
    </row>
    <row r="2687" spans="13:13" ht="18.899999999999999" customHeight="1" x14ac:dyDescent="0.35">
      <c r="M2687" s="22"/>
    </row>
    <row r="2688" spans="13:13" ht="18.899999999999999" customHeight="1" x14ac:dyDescent="0.35">
      <c r="M2688" s="22"/>
    </row>
    <row r="2689" spans="12:13" ht="18.899999999999999" customHeight="1" x14ac:dyDescent="0.35">
      <c r="M2689" s="22"/>
    </row>
    <row r="2690" spans="12:13" ht="18.899999999999999" customHeight="1" x14ac:dyDescent="0.35">
      <c r="M2690" s="22"/>
    </row>
    <row r="2691" spans="12:13" ht="18.899999999999999" customHeight="1" x14ac:dyDescent="0.35">
      <c r="M2691" s="22"/>
    </row>
    <row r="2692" spans="12:13" ht="18.899999999999999" customHeight="1" x14ac:dyDescent="0.35">
      <c r="M2692" s="22"/>
    </row>
    <row r="2693" spans="12:13" ht="18.899999999999999" customHeight="1" x14ac:dyDescent="0.35">
      <c r="M2693" s="22"/>
    </row>
    <row r="2694" spans="12:13" ht="18.899999999999999" customHeight="1" x14ac:dyDescent="0.35">
      <c r="M2694" s="22"/>
    </row>
    <row r="2695" spans="12:13" ht="18.899999999999999" customHeight="1" x14ac:dyDescent="0.35">
      <c r="M2695" s="22"/>
    </row>
    <row r="2696" spans="12:13" ht="18.899999999999999" customHeight="1" x14ac:dyDescent="0.35">
      <c r="M2696" s="22"/>
    </row>
    <row r="2697" spans="12:13" ht="18.899999999999999" customHeight="1" x14ac:dyDescent="0.35">
      <c r="M2697" s="22"/>
    </row>
    <row r="2698" spans="12:13" ht="18.899999999999999" customHeight="1" x14ac:dyDescent="0.35">
      <c r="L2698" s="25"/>
      <c r="M2698" s="22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59999389629810485"/>
  </sheetPr>
  <dimension ref="A1:L3"/>
  <sheetViews>
    <sheetView topLeftCell="C1" zoomScaleNormal="100" workbookViewId="0">
      <selection activeCell="I2" sqref="I2"/>
    </sheetView>
  </sheetViews>
  <sheetFormatPr baseColWidth="10" defaultColWidth="11.453125" defaultRowHeight="18.899999999999999" customHeight="1" x14ac:dyDescent="0.35"/>
  <cols>
    <col min="1" max="1" width="16.54296875" style="25" customWidth="1"/>
    <col min="2" max="2" width="19.6328125" style="1" customWidth="1"/>
    <col min="3" max="8" width="17" style="22" customWidth="1"/>
    <col min="9" max="9" width="22.08984375" style="23" customWidth="1"/>
    <col min="10" max="10" width="22" style="25" bestFit="1" customWidth="1"/>
    <col min="11" max="11" width="19.6328125" style="22" customWidth="1"/>
    <col min="12" max="12" width="17.453125" style="25" customWidth="1"/>
    <col min="13" max="16384" width="11.453125" style="22"/>
  </cols>
  <sheetData>
    <row r="1" spans="1:10" ht="30" customHeight="1" x14ac:dyDescent="0.35">
      <c r="A1" s="21" t="s">
        <v>23</v>
      </c>
      <c r="B1" s="26" t="s">
        <v>29</v>
      </c>
      <c r="C1" s="21" t="s">
        <v>33</v>
      </c>
      <c r="D1" s="21" t="s">
        <v>26</v>
      </c>
      <c r="E1" s="21" t="s">
        <v>18</v>
      </c>
      <c r="F1" s="21" t="s">
        <v>30</v>
      </c>
      <c r="G1" s="21" t="s">
        <v>2</v>
      </c>
      <c r="H1" s="21" t="s">
        <v>27</v>
      </c>
      <c r="I1" s="21" t="s">
        <v>25</v>
      </c>
      <c r="J1" s="21" t="s">
        <v>57</v>
      </c>
    </row>
    <row r="2" spans="1:10" ht="18.899999999999999" customHeight="1" x14ac:dyDescent="0.35">
      <c r="A2" s="27"/>
      <c r="C2" s="23"/>
      <c r="F2" s="22">
        <f>Tbl_Nota[[#This Row],[GRAVADAS]]+Tbl_Nota[[#This Row],[EXENTAS]]</f>
        <v>0</v>
      </c>
      <c r="G2" s="22">
        <f>IFERROR(ROUND(Tbl_Nota[[#This Row],[GRAVADAS]]*VLOOKUP(Tbl_Nota[[#This Row],[CATEGORIA]],Tbl_Criterio[],2,0),2),0)</f>
        <v>0</v>
      </c>
      <c r="H2" s="22">
        <f>IFERROR(Tbl_Nota[[#This Row],[SUB_TOTAL1]]+Tbl_Nota[[#This Row],[ITBMS]],0)</f>
        <v>0</v>
      </c>
      <c r="J2" s="25" t="str">
        <f>IF(COUNTIFS(Tbl_Nota[NOTA DE CREDITO],Tbl_Nota[[#This Row],[NOTA DE CREDITO]])&gt;1,"REFERENCIA REPETIDA","-")</f>
        <v>-</v>
      </c>
    </row>
    <row r="3" spans="1:10" ht="18.899999999999999" customHeight="1" x14ac:dyDescent="0.35">
      <c r="A3" s="20" t="s">
        <v>0</v>
      </c>
      <c r="C3" s="54"/>
      <c r="D3" s="54"/>
      <c r="F3" s="54"/>
      <c r="G3" s="54"/>
      <c r="H3" s="54"/>
      <c r="I3" s="1"/>
      <c r="J3" s="20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59999389629810485"/>
  </sheetPr>
  <dimension ref="A1:I43"/>
  <sheetViews>
    <sheetView showGridLines="0" zoomScale="85" zoomScaleNormal="85" workbookViewId="0">
      <selection activeCell="A3" sqref="A3"/>
    </sheetView>
  </sheetViews>
  <sheetFormatPr baseColWidth="10" defaultRowHeight="15.75" customHeight="1" x14ac:dyDescent="0.35"/>
  <cols>
    <col min="1" max="3" width="21.453125" style="1" customWidth="1"/>
    <col min="4" max="9" width="21.453125" style="23" customWidth="1"/>
  </cols>
  <sheetData>
    <row r="1" spans="1:9" s="20" customFormat="1" ht="25.5" customHeight="1" x14ac:dyDescent="0.35">
      <c r="A1" s="1" t="s">
        <v>23</v>
      </c>
      <c r="B1" s="1" t="s">
        <v>32</v>
      </c>
      <c r="C1" s="1" t="s">
        <v>25</v>
      </c>
      <c r="D1" s="23" t="s">
        <v>33</v>
      </c>
      <c r="E1" s="23" t="s">
        <v>26</v>
      </c>
      <c r="F1" s="23" t="s">
        <v>18</v>
      </c>
      <c r="G1" s="23" t="s">
        <v>35</v>
      </c>
      <c r="H1" s="23" t="s">
        <v>2</v>
      </c>
      <c r="I1" s="23" t="s">
        <v>27</v>
      </c>
    </row>
    <row r="2" spans="1:9" ht="25.5" customHeight="1" x14ac:dyDescent="0.35">
      <c r="A2" s="28">
        <v>44377</v>
      </c>
      <c r="B2" s="1" t="s">
        <v>29</v>
      </c>
      <c r="C2" s="1" t="s">
        <v>10</v>
      </c>
      <c r="D2" s="23">
        <f>IF(Tbl_CierreX[[#This Row],[DOCUMENTO]]=FACTURA,(SUMIFS(Tbl_Factura[DESCUENTOS],Tbl_Factura[CATEGORIA],Tbl_CierreX[[#This Row],[CATEGORIA]],Tbl_Factura[FECHA],Tbl_CierreX[[#This Row],[FECHA]])),(SUMIFS(Tbl_Nota[DESCUENTOS],Tbl_Nota[CATEGORIA],Tbl_CierreX[[#This Row],[CATEGORIA]],Tbl_Nota[FECHA],Tbl_CierreX[[#This Row],[FECHA]]))*-1)</f>
        <v>0</v>
      </c>
      <c r="E2" s="23">
        <f>IF(Tbl_CierreX[[#This Row],[DOCUMENTO]]=FACTURA,(SUMIFS(Tbl_Factura[GRAVADAS],Tbl_Factura[CATEGORIA],Tbl_CierreX[[#This Row],[CATEGORIA]],Tbl_Factura[FECHA],Tbl_CierreX[[#This Row],[FECHA]])),(SUMIFS(Tbl_Nota[GRAVADAS],Tbl_Nota[CATEGORIA],Tbl_CierreX[[#This Row],[CATEGORIA]],Tbl_Nota[FECHA],Tbl_CierreX[[#This Row],[FECHA]]))*-1)</f>
        <v>0</v>
      </c>
      <c r="F2" s="23">
        <f>IF(Tbl_CierreX[[#This Row],[DOCUMENTO]]=FACTURA,(SUMIFS(Tbl_Factura[EXENTAS],Tbl_Factura[CATEGORIA],Tbl_CierreX[[#This Row],[CATEGORIA]],Tbl_Factura[FECHA],Tbl_CierreX[[#This Row],[FECHA]])),(SUMIFS(Tbl_Nota[EXENTAS],Tbl_Nota[CATEGORIA],Tbl_CierreX[[#This Row],[CATEGORIA]],Tbl_Nota[FECHA],Tbl_CierreX[[#This Row],[FECHA]]))*-1)</f>
        <v>0</v>
      </c>
      <c r="G2" s="23">
        <f>IF(Tbl_CierreX[[#This Row],[DOCUMENTO]]=FACTURA,(SUMIFS(Tbl_Factura[SUB_TOTAL ],Tbl_Factura[CATEGORIA],Tbl_CierreX[[#This Row],[CATEGORIA]],Tbl_Factura[FECHA],Tbl_CierreX[[#This Row],[FECHA]])),(SUMIFS(Tbl_Nota[SUB_TOTAL1],Tbl_Nota[CATEGORIA],Tbl_CierreX[[#This Row],[CATEGORIA]],Tbl_Nota[FECHA],Tbl_CierreX[[#This Row],[FECHA]]))*-1)</f>
        <v>0</v>
      </c>
      <c r="H2" s="23">
        <f>IF(Tbl_CierreX[[#This Row],[DOCUMENTO]]=FACTURA,(SUMIFS(Tbl_Factura[ITBMS],Tbl_Factura[CATEGORIA],Tbl_CierreX[[#This Row],[CATEGORIA]],Tbl_Factura[FECHA],Tbl_CierreX[[#This Row],[FECHA]])),(SUMIFS(Tbl_Nota[ITBMS],Tbl_Nota[CATEGORIA],Tbl_CierreX[[#This Row],[CATEGORIA]],Tbl_Nota[FECHA],Tbl_CierreX[[#This Row],[FECHA]]))*-1)</f>
        <v>0</v>
      </c>
      <c r="I2" s="23">
        <f>IF(Tbl_CierreX[[#This Row],[DOCUMENTO]]=FACTURA,(SUMIFS(Tbl_Factura[CXCOBRAR],Tbl_Factura[CATEGORIA],Tbl_CierreX[[#This Row],[CATEGORIA]],Tbl_Factura[FECHA],Tbl_CierreX[[#This Row],[FECHA]])),(SUMIFS(Tbl_Nota[CXCOBRAR],Tbl_Nota[CATEGORIA],Tbl_CierreX[[#This Row],[CATEGORIA]],Tbl_Nota[FECHA],Tbl_CierreX[[#This Row],[FECHA]]))*-1)</f>
        <v>0</v>
      </c>
    </row>
    <row r="3" spans="1:9" ht="25.5" customHeight="1" x14ac:dyDescent="0.35">
      <c r="A3" s="28">
        <v>44377</v>
      </c>
      <c r="B3" s="1" t="s">
        <v>29</v>
      </c>
      <c r="C3" s="1" t="s">
        <v>9</v>
      </c>
      <c r="D3" s="23">
        <f>IF(Tbl_CierreX[[#This Row],[DOCUMENTO]]=FACTURA,(SUMIFS(Tbl_Factura[DESCUENTOS],Tbl_Factura[CATEGORIA],Tbl_CierreX[[#This Row],[CATEGORIA]],Tbl_Factura[FECHA],Tbl_CierreX[[#This Row],[FECHA]])),(SUMIFS(Tbl_Nota[DESCUENTOS],Tbl_Nota[CATEGORIA],Tbl_CierreX[[#This Row],[CATEGORIA]],Tbl_Nota[FECHA],Tbl_CierreX[[#This Row],[FECHA]]))*-1)</f>
        <v>0</v>
      </c>
      <c r="E3" s="23">
        <f>IF(Tbl_CierreX[[#This Row],[DOCUMENTO]]=FACTURA,(SUMIFS(Tbl_Factura[GRAVADAS],Tbl_Factura[CATEGORIA],Tbl_CierreX[[#This Row],[CATEGORIA]],Tbl_Factura[FECHA],Tbl_CierreX[[#This Row],[FECHA]])),(SUMIFS(Tbl_Nota[GRAVADAS],Tbl_Nota[CATEGORIA],Tbl_CierreX[[#This Row],[CATEGORIA]],Tbl_Nota[FECHA],Tbl_CierreX[[#This Row],[FECHA]]))*-1)</f>
        <v>0</v>
      </c>
      <c r="F3" s="23">
        <f>IF(Tbl_CierreX[[#This Row],[DOCUMENTO]]=FACTURA,(SUMIFS(Tbl_Factura[EXENTAS],Tbl_Factura[CATEGORIA],Tbl_CierreX[[#This Row],[CATEGORIA]],Tbl_Factura[FECHA],Tbl_CierreX[[#This Row],[FECHA]])),(SUMIFS(Tbl_Nota[EXENTAS],Tbl_Nota[CATEGORIA],Tbl_CierreX[[#This Row],[CATEGORIA]],Tbl_Nota[FECHA],Tbl_CierreX[[#This Row],[FECHA]]))*-1)</f>
        <v>0</v>
      </c>
      <c r="G3" s="23">
        <f>IF(Tbl_CierreX[[#This Row],[DOCUMENTO]]=FACTURA,(SUMIFS(Tbl_Factura[SUB_TOTAL ],Tbl_Factura[CATEGORIA],Tbl_CierreX[[#This Row],[CATEGORIA]],Tbl_Factura[FECHA],Tbl_CierreX[[#This Row],[FECHA]])),(SUMIFS(Tbl_Nota[SUB_TOTAL1],Tbl_Nota[CATEGORIA],Tbl_CierreX[[#This Row],[CATEGORIA]],Tbl_Nota[FECHA],Tbl_CierreX[[#This Row],[FECHA]]))*-1)</f>
        <v>0</v>
      </c>
      <c r="H3" s="23">
        <f>IF(Tbl_CierreX[[#This Row],[DOCUMENTO]]=FACTURA,(SUMIFS(Tbl_Factura[ITBMS],Tbl_Factura[CATEGORIA],Tbl_CierreX[[#This Row],[CATEGORIA]],Tbl_Factura[FECHA],Tbl_CierreX[[#This Row],[FECHA]])),(SUMIFS(Tbl_Nota[ITBMS],Tbl_Nota[CATEGORIA],Tbl_CierreX[[#This Row],[CATEGORIA]],Tbl_Nota[FECHA],Tbl_CierreX[[#This Row],[FECHA]]))*-1)</f>
        <v>0</v>
      </c>
      <c r="I3" s="23">
        <f>IF(Tbl_CierreX[[#This Row],[DOCUMENTO]]=FACTURA,(SUMIFS(Tbl_Factura[CXCOBRAR],Tbl_Factura[CATEGORIA],Tbl_CierreX[[#This Row],[CATEGORIA]],Tbl_Factura[FECHA],Tbl_CierreX[[#This Row],[FECHA]])),(SUMIFS(Tbl_Nota[CXCOBRAR],Tbl_Nota[CATEGORIA],Tbl_CierreX[[#This Row],[CATEGORIA]],Tbl_Nota[FECHA],Tbl_CierreX[[#This Row],[FECHA]]))*-1)</f>
        <v>0</v>
      </c>
    </row>
    <row r="4" spans="1:9" ht="25.5" customHeight="1" x14ac:dyDescent="0.35">
      <c r="A4" s="28">
        <v>44377</v>
      </c>
      <c r="B4" s="1" t="s">
        <v>29</v>
      </c>
      <c r="C4" s="1" t="s">
        <v>8</v>
      </c>
      <c r="D4" s="23">
        <f>IF(Tbl_CierreX[[#This Row],[DOCUMENTO]]=FACTURA,(SUMIFS(Tbl_Factura[DESCUENTOS],Tbl_Factura[CATEGORIA],Tbl_CierreX[[#This Row],[CATEGORIA]],Tbl_Factura[FECHA],Tbl_CierreX[[#This Row],[FECHA]])),(SUMIFS(Tbl_Nota[DESCUENTOS],Tbl_Nota[CATEGORIA],Tbl_CierreX[[#This Row],[CATEGORIA]],Tbl_Nota[FECHA],Tbl_CierreX[[#This Row],[FECHA]]))*-1)</f>
        <v>0</v>
      </c>
      <c r="E4" s="23">
        <f>IF(Tbl_CierreX[[#This Row],[DOCUMENTO]]=FACTURA,(SUMIFS(Tbl_Factura[GRAVADAS],Tbl_Factura[CATEGORIA],Tbl_CierreX[[#This Row],[CATEGORIA]],Tbl_Factura[FECHA],Tbl_CierreX[[#This Row],[FECHA]])),(SUMIFS(Tbl_Nota[GRAVADAS],Tbl_Nota[CATEGORIA],Tbl_CierreX[[#This Row],[CATEGORIA]],Tbl_Nota[FECHA],Tbl_CierreX[[#This Row],[FECHA]]))*-1)</f>
        <v>0</v>
      </c>
      <c r="F4" s="23">
        <f>IF(Tbl_CierreX[[#This Row],[DOCUMENTO]]=FACTURA,(SUMIFS(Tbl_Factura[EXENTAS],Tbl_Factura[CATEGORIA],Tbl_CierreX[[#This Row],[CATEGORIA]],Tbl_Factura[FECHA],Tbl_CierreX[[#This Row],[FECHA]])),(SUMIFS(Tbl_Nota[EXENTAS],Tbl_Nota[CATEGORIA],Tbl_CierreX[[#This Row],[CATEGORIA]],Tbl_Nota[FECHA],Tbl_CierreX[[#This Row],[FECHA]]))*-1)</f>
        <v>0</v>
      </c>
      <c r="G4" s="23">
        <f>IF(Tbl_CierreX[[#This Row],[DOCUMENTO]]=FACTURA,(SUMIFS(Tbl_Factura[SUB_TOTAL ],Tbl_Factura[CATEGORIA],Tbl_CierreX[[#This Row],[CATEGORIA]],Tbl_Factura[FECHA],Tbl_CierreX[[#This Row],[FECHA]])),(SUMIFS(Tbl_Nota[SUB_TOTAL1],Tbl_Nota[CATEGORIA],Tbl_CierreX[[#This Row],[CATEGORIA]],Tbl_Nota[FECHA],Tbl_CierreX[[#This Row],[FECHA]]))*-1)</f>
        <v>0</v>
      </c>
      <c r="H4" s="23">
        <f>IF(Tbl_CierreX[[#This Row],[DOCUMENTO]]=FACTURA,(SUMIFS(Tbl_Factura[ITBMS],Tbl_Factura[CATEGORIA],Tbl_CierreX[[#This Row],[CATEGORIA]],Tbl_Factura[FECHA],Tbl_CierreX[[#This Row],[FECHA]])),(SUMIFS(Tbl_Nota[ITBMS],Tbl_Nota[CATEGORIA],Tbl_CierreX[[#This Row],[CATEGORIA]],Tbl_Nota[FECHA],Tbl_CierreX[[#This Row],[FECHA]]))*-1)</f>
        <v>0</v>
      </c>
      <c r="I4" s="23">
        <f>IF(Tbl_CierreX[[#This Row],[DOCUMENTO]]=FACTURA,(SUMIFS(Tbl_Factura[CXCOBRAR],Tbl_Factura[CATEGORIA],Tbl_CierreX[[#This Row],[CATEGORIA]],Tbl_Factura[FECHA],Tbl_CierreX[[#This Row],[FECHA]])),(SUMIFS(Tbl_Nota[CXCOBRAR],Tbl_Nota[CATEGORIA],Tbl_CierreX[[#This Row],[CATEGORIA]],Tbl_Nota[FECHA],Tbl_CierreX[[#This Row],[FECHA]]))*-1)</f>
        <v>0</v>
      </c>
    </row>
    <row r="5" spans="1:9" ht="25.5" customHeight="1" x14ac:dyDescent="0.35">
      <c r="A5" s="28">
        <v>44377</v>
      </c>
      <c r="B5" s="1" t="s">
        <v>29</v>
      </c>
      <c r="C5" s="1" t="s">
        <v>7</v>
      </c>
      <c r="D5" s="23">
        <f>IF(Tbl_CierreX[[#This Row],[DOCUMENTO]]=FACTURA,(SUMIFS(Tbl_Factura[DESCUENTOS],Tbl_Factura[CATEGORIA],Tbl_CierreX[[#This Row],[CATEGORIA]],Tbl_Factura[FECHA],Tbl_CierreX[[#This Row],[FECHA]])),(SUMIFS(Tbl_Nota[DESCUENTOS],Tbl_Nota[CATEGORIA],Tbl_CierreX[[#This Row],[CATEGORIA]],Tbl_Nota[FECHA],Tbl_CierreX[[#This Row],[FECHA]]))*-1)</f>
        <v>0</v>
      </c>
      <c r="E5" s="23">
        <f>IF(Tbl_CierreX[[#This Row],[DOCUMENTO]]=FACTURA,(SUMIFS(Tbl_Factura[GRAVADAS],Tbl_Factura[CATEGORIA],Tbl_CierreX[[#This Row],[CATEGORIA]],Tbl_Factura[FECHA],Tbl_CierreX[[#This Row],[FECHA]])),(SUMIFS(Tbl_Nota[GRAVADAS],Tbl_Nota[CATEGORIA],Tbl_CierreX[[#This Row],[CATEGORIA]],Tbl_Nota[FECHA],Tbl_CierreX[[#This Row],[FECHA]]))*-1)</f>
        <v>0</v>
      </c>
      <c r="F5" s="23">
        <f>IF(Tbl_CierreX[[#This Row],[DOCUMENTO]]=FACTURA,(SUMIFS(Tbl_Factura[EXENTAS],Tbl_Factura[CATEGORIA],Tbl_CierreX[[#This Row],[CATEGORIA]],Tbl_Factura[FECHA],Tbl_CierreX[[#This Row],[FECHA]])),(SUMIFS(Tbl_Nota[EXENTAS],Tbl_Nota[CATEGORIA],Tbl_CierreX[[#This Row],[CATEGORIA]],Tbl_Nota[FECHA],Tbl_CierreX[[#This Row],[FECHA]]))*-1)</f>
        <v>0</v>
      </c>
      <c r="G5" s="23">
        <f>IF(Tbl_CierreX[[#This Row],[DOCUMENTO]]=FACTURA,(SUMIFS(Tbl_Factura[SUB_TOTAL ],Tbl_Factura[CATEGORIA],Tbl_CierreX[[#This Row],[CATEGORIA]],Tbl_Factura[FECHA],Tbl_CierreX[[#This Row],[FECHA]])),(SUMIFS(Tbl_Nota[SUB_TOTAL1],Tbl_Nota[CATEGORIA],Tbl_CierreX[[#This Row],[CATEGORIA]],Tbl_Nota[FECHA],Tbl_CierreX[[#This Row],[FECHA]]))*-1)</f>
        <v>0</v>
      </c>
      <c r="H5" s="23">
        <f>IF(Tbl_CierreX[[#This Row],[DOCUMENTO]]=FACTURA,(SUMIFS(Tbl_Factura[ITBMS],Tbl_Factura[CATEGORIA],Tbl_CierreX[[#This Row],[CATEGORIA]],Tbl_Factura[FECHA],Tbl_CierreX[[#This Row],[FECHA]])),(SUMIFS(Tbl_Nota[ITBMS],Tbl_Nota[CATEGORIA],Tbl_CierreX[[#This Row],[CATEGORIA]],Tbl_Nota[FECHA],Tbl_CierreX[[#This Row],[FECHA]]))*-1)</f>
        <v>0</v>
      </c>
      <c r="I5" s="23">
        <f>IF(Tbl_CierreX[[#This Row],[DOCUMENTO]]=FACTURA,(SUMIFS(Tbl_Factura[CXCOBRAR],Tbl_Factura[CATEGORIA],Tbl_CierreX[[#This Row],[CATEGORIA]],Tbl_Factura[FECHA],Tbl_CierreX[[#This Row],[FECHA]])),(SUMIFS(Tbl_Nota[CXCOBRAR],Tbl_Nota[CATEGORIA],Tbl_CierreX[[#This Row],[CATEGORIA]],Tbl_Nota[FECHA],Tbl_CierreX[[#This Row],[FECHA]]))*-1)</f>
        <v>0</v>
      </c>
    </row>
    <row r="6" spans="1:9" ht="25.5" customHeight="1" x14ac:dyDescent="0.35">
      <c r="A6" s="28">
        <v>44377</v>
      </c>
      <c r="B6" s="1" t="s">
        <v>29</v>
      </c>
      <c r="C6" s="1" t="s">
        <v>6</v>
      </c>
      <c r="D6" s="23">
        <f>IF(Tbl_CierreX[[#This Row],[DOCUMENTO]]=FACTURA,(SUMIFS(Tbl_Factura[DESCUENTOS],Tbl_Factura[CATEGORIA],Tbl_CierreX[[#This Row],[CATEGORIA]],Tbl_Factura[FECHA],Tbl_CierreX[[#This Row],[FECHA]])),(SUMIFS(Tbl_Nota[DESCUENTOS],Tbl_Nota[CATEGORIA],Tbl_CierreX[[#This Row],[CATEGORIA]],Tbl_Nota[FECHA],Tbl_CierreX[[#This Row],[FECHA]]))*-1)</f>
        <v>0</v>
      </c>
      <c r="E6" s="23">
        <f>IF(Tbl_CierreX[[#This Row],[DOCUMENTO]]=FACTURA,(SUMIFS(Tbl_Factura[GRAVADAS],Tbl_Factura[CATEGORIA],Tbl_CierreX[[#This Row],[CATEGORIA]],Tbl_Factura[FECHA],Tbl_CierreX[[#This Row],[FECHA]])),(SUMIFS(Tbl_Nota[GRAVADAS],Tbl_Nota[CATEGORIA],Tbl_CierreX[[#This Row],[CATEGORIA]],Tbl_Nota[FECHA],Tbl_CierreX[[#This Row],[FECHA]]))*-1)</f>
        <v>0</v>
      </c>
      <c r="F6" s="23">
        <f>IF(Tbl_CierreX[[#This Row],[DOCUMENTO]]=FACTURA,(SUMIFS(Tbl_Factura[EXENTAS],Tbl_Factura[CATEGORIA],Tbl_CierreX[[#This Row],[CATEGORIA]],Tbl_Factura[FECHA],Tbl_CierreX[[#This Row],[FECHA]])),(SUMIFS(Tbl_Nota[EXENTAS],Tbl_Nota[CATEGORIA],Tbl_CierreX[[#This Row],[CATEGORIA]],Tbl_Nota[FECHA],Tbl_CierreX[[#This Row],[FECHA]]))*-1)</f>
        <v>0</v>
      </c>
      <c r="G6" s="23">
        <f>IF(Tbl_CierreX[[#This Row],[DOCUMENTO]]=FACTURA,(SUMIFS(Tbl_Factura[SUB_TOTAL ],Tbl_Factura[CATEGORIA],Tbl_CierreX[[#This Row],[CATEGORIA]],Tbl_Factura[FECHA],Tbl_CierreX[[#This Row],[FECHA]])),(SUMIFS(Tbl_Nota[SUB_TOTAL1],Tbl_Nota[CATEGORIA],Tbl_CierreX[[#This Row],[CATEGORIA]],Tbl_Nota[FECHA],Tbl_CierreX[[#This Row],[FECHA]]))*-1)</f>
        <v>0</v>
      </c>
      <c r="H6" s="23">
        <f>IF(Tbl_CierreX[[#This Row],[DOCUMENTO]]=FACTURA,(SUMIFS(Tbl_Factura[ITBMS],Tbl_Factura[CATEGORIA],Tbl_CierreX[[#This Row],[CATEGORIA]],Tbl_Factura[FECHA],Tbl_CierreX[[#This Row],[FECHA]])),(SUMIFS(Tbl_Nota[ITBMS],Tbl_Nota[CATEGORIA],Tbl_CierreX[[#This Row],[CATEGORIA]],Tbl_Nota[FECHA],Tbl_CierreX[[#This Row],[FECHA]]))*-1)</f>
        <v>0</v>
      </c>
      <c r="I6" s="23">
        <f>IF(Tbl_CierreX[[#This Row],[DOCUMENTO]]=FACTURA,(SUMIFS(Tbl_Factura[CXCOBRAR],Tbl_Factura[CATEGORIA],Tbl_CierreX[[#This Row],[CATEGORIA]],Tbl_Factura[FECHA],Tbl_CierreX[[#This Row],[FECHA]])),(SUMIFS(Tbl_Nota[CXCOBRAR],Tbl_Nota[CATEGORIA],Tbl_CierreX[[#This Row],[CATEGORIA]],Tbl_Nota[FECHA],Tbl_CierreX[[#This Row],[FECHA]]))*-1)</f>
        <v>0</v>
      </c>
    </row>
    <row r="7" spans="1:9" ht="25.5" customHeight="1" x14ac:dyDescent="0.35">
      <c r="A7" s="28">
        <v>44377</v>
      </c>
      <c r="B7" s="1" t="s">
        <v>24</v>
      </c>
      <c r="C7" s="1" t="s">
        <v>10</v>
      </c>
      <c r="D7" s="23">
        <f>IF(Tbl_CierreX[[#This Row],[DOCUMENTO]]=FACTURA,(SUMIFS(Tbl_Factura[DESCUENTOS],Tbl_Factura[CATEGORIA],Tbl_CierreX[[#This Row],[CATEGORIA]],Tbl_Factura[FECHA],Tbl_CierreX[[#This Row],[FECHA]])),(SUMIFS(Tbl_Nota[DESCUENTOS],Tbl_Nota[CATEGORIA],Tbl_CierreX[[#This Row],[CATEGORIA]],Tbl_Nota[FECHA],Tbl_CierreX[[#This Row],[FECHA]]))*-1)</f>
        <v>0</v>
      </c>
      <c r="E7" s="23">
        <f>IF(Tbl_CierreX[[#This Row],[DOCUMENTO]]=FACTURA,(SUMIFS(Tbl_Factura[GRAVADAS],Tbl_Factura[CATEGORIA],Tbl_CierreX[[#This Row],[CATEGORIA]],Tbl_Factura[FECHA],Tbl_CierreX[[#This Row],[FECHA]])),(SUMIFS(Tbl_Nota[GRAVADAS],Tbl_Nota[CATEGORIA],Tbl_CierreX[[#This Row],[CATEGORIA]],Tbl_Nota[FECHA],Tbl_CierreX[[#This Row],[FECHA]]))*-1)</f>
        <v>0</v>
      </c>
      <c r="F7" s="23">
        <f>IF(Tbl_CierreX[[#This Row],[DOCUMENTO]]=FACTURA,(SUMIFS(Tbl_Factura[EXENTAS],Tbl_Factura[CATEGORIA],Tbl_CierreX[[#This Row],[CATEGORIA]],Tbl_Factura[FECHA],Tbl_CierreX[[#This Row],[FECHA]])),(SUMIFS(Tbl_Nota[EXENTAS],Tbl_Nota[CATEGORIA],Tbl_CierreX[[#This Row],[CATEGORIA]],Tbl_Nota[FECHA],Tbl_CierreX[[#This Row],[FECHA]]))*-1)</f>
        <v>0</v>
      </c>
      <c r="G7" s="23">
        <f>IF(Tbl_CierreX[[#This Row],[DOCUMENTO]]=FACTURA,(SUMIFS(Tbl_Factura[SUB_TOTAL ],Tbl_Factura[CATEGORIA],Tbl_CierreX[[#This Row],[CATEGORIA]],Tbl_Factura[FECHA],Tbl_CierreX[[#This Row],[FECHA]])),(SUMIFS(Tbl_Nota[SUB_TOTAL1],Tbl_Nota[CATEGORIA],Tbl_CierreX[[#This Row],[CATEGORIA]],Tbl_Nota[FECHA],Tbl_CierreX[[#This Row],[FECHA]]))*-1)</f>
        <v>0</v>
      </c>
      <c r="H7" s="23">
        <f>IF(Tbl_CierreX[[#This Row],[DOCUMENTO]]=FACTURA,(SUMIFS(Tbl_Factura[ITBMS],Tbl_Factura[CATEGORIA],Tbl_CierreX[[#This Row],[CATEGORIA]],Tbl_Factura[FECHA],Tbl_CierreX[[#This Row],[FECHA]])),(SUMIFS(Tbl_Nota[ITBMS],Tbl_Nota[CATEGORIA],Tbl_CierreX[[#This Row],[CATEGORIA]],Tbl_Nota[FECHA],Tbl_CierreX[[#This Row],[FECHA]]))*-1)</f>
        <v>0</v>
      </c>
      <c r="I7" s="23">
        <f>IF(Tbl_CierreX[[#This Row],[DOCUMENTO]]=FACTURA,(SUMIFS(Tbl_Factura[CXCOBRAR],Tbl_Factura[CATEGORIA],Tbl_CierreX[[#This Row],[CATEGORIA]],Tbl_Factura[FECHA],Tbl_CierreX[[#This Row],[FECHA]])),(SUMIFS(Tbl_Nota[CXCOBRAR],Tbl_Nota[CATEGORIA],Tbl_CierreX[[#This Row],[CATEGORIA]],Tbl_Nota[FECHA],Tbl_CierreX[[#This Row],[FECHA]]))*-1)</f>
        <v>0</v>
      </c>
    </row>
    <row r="8" spans="1:9" ht="25.5" customHeight="1" x14ac:dyDescent="0.35">
      <c r="A8" s="28">
        <v>44377</v>
      </c>
      <c r="B8" s="1" t="s">
        <v>24</v>
      </c>
      <c r="C8" s="1" t="s">
        <v>9</v>
      </c>
      <c r="D8" s="23">
        <f>IF(Tbl_CierreX[[#This Row],[DOCUMENTO]]=FACTURA,(SUMIFS(Tbl_Factura[DESCUENTOS],Tbl_Factura[CATEGORIA],Tbl_CierreX[[#This Row],[CATEGORIA]],Tbl_Factura[FECHA],Tbl_CierreX[[#This Row],[FECHA]])),(SUMIFS(Tbl_Nota[DESCUENTOS],Tbl_Nota[CATEGORIA],Tbl_CierreX[[#This Row],[CATEGORIA]],Tbl_Nota[FECHA],Tbl_CierreX[[#This Row],[FECHA]]))*-1)</f>
        <v>0</v>
      </c>
      <c r="E8" s="23">
        <f>IF(Tbl_CierreX[[#This Row],[DOCUMENTO]]=FACTURA,(SUMIFS(Tbl_Factura[GRAVADAS],Tbl_Factura[CATEGORIA],Tbl_CierreX[[#This Row],[CATEGORIA]],Tbl_Factura[FECHA],Tbl_CierreX[[#This Row],[FECHA]])),(SUMIFS(Tbl_Nota[GRAVADAS],Tbl_Nota[CATEGORIA],Tbl_CierreX[[#This Row],[CATEGORIA]],Tbl_Nota[FECHA],Tbl_CierreX[[#This Row],[FECHA]]))*-1)</f>
        <v>0</v>
      </c>
      <c r="F8" s="23">
        <f>IF(Tbl_CierreX[[#This Row],[DOCUMENTO]]=FACTURA,(SUMIFS(Tbl_Factura[EXENTAS],Tbl_Factura[CATEGORIA],Tbl_CierreX[[#This Row],[CATEGORIA]],Tbl_Factura[FECHA],Tbl_CierreX[[#This Row],[FECHA]])),(SUMIFS(Tbl_Nota[EXENTAS],Tbl_Nota[CATEGORIA],Tbl_CierreX[[#This Row],[CATEGORIA]],Tbl_Nota[FECHA],Tbl_CierreX[[#This Row],[FECHA]]))*-1)</f>
        <v>0</v>
      </c>
      <c r="G8" s="23">
        <f>IF(Tbl_CierreX[[#This Row],[DOCUMENTO]]=FACTURA,(SUMIFS(Tbl_Factura[SUB_TOTAL ],Tbl_Factura[CATEGORIA],Tbl_CierreX[[#This Row],[CATEGORIA]],Tbl_Factura[FECHA],Tbl_CierreX[[#This Row],[FECHA]])),(SUMIFS(Tbl_Nota[SUB_TOTAL1],Tbl_Nota[CATEGORIA],Tbl_CierreX[[#This Row],[CATEGORIA]],Tbl_Nota[FECHA],Tbl_CierreX[[#This Row],[FECHA]]))*-1)</f>
        <v>0</v>
      </c>
      <c r="H8" s="23">
        <f>IF(Tbl_CierreX[[#This Row],[DOCUMENTO]]=FACTURA,(SUMIFS(Tbl_Factura[ITBMS],Tbl_Factura[CATEGORIA],Tbl_CierreX[[#This Row],[CATEGORIA]],Tbl_Factura[FECHA],Tbl_CierreX[[#This Row],[FECHA]])),(SUMIFS(Tbl_Nota[ITBMS],Tbl_Nota[CATEGORIA],Tbl_CierreX[[#This Row],[CATEGORIA]],Tbl_Nota[FECHA],Tbl_CierreX[[#This Row],[FECHA]]))*-1)</f>
        <v>0</v>
      </c>
      <c r="I8" s="23">
        <f>IF(Tbl_CierreX[[#This Row],[DOCUMENTO]]=FACTURA,(SUMIFS(Tbl_Factura[CXCOBRAR],Tbl_Factura[CATEGORIA],Tbl_CierreX[[#This Row],[CATEGORIA]],Tbl_Factura[FECHA],Tbl_CierreX[[#This Row],[FECHA]])),(SUMIFS(Tbl_Nota[CXCOBRAR],Tbl_Nota[CATEGORIA],Tbl_CierreX[[#This Row],[CATEGORIA]],Tbl_Nota[FECHA],Tbl_CierreX[[#This Row],[FECHA]]))*-1)</f>
        <v>0</v>
      </c>
    </row>
    <row r="9" spans="1:9" ht="25.5" customHeight="1" x14ac:dyDescent="0.35">
      <c r="A9" s="28">
        <v>44377</v>
      </c>
      <c r="B9" s="1" t="s">
        <v>24</v>
      </c>
      <c r="C9" s="1" t="s">
        <v>8</v>
      </c>
      <c r="D9" s="23">
        <f>IF(Tbl_CierreX[[#This Row],[DOCUMENTO]]=FACTURA,(SUMIFS(Tbl_Factura[DESCUENTOS],Tbl_Factura[CATEGORIA],Tbl_CierreX[[#This Row],[CATEGORIA]],Tbl_Factura[FECHA],Tbl_CierreX[[#This Row],[FECHA]])),(SUMIFS(Tbl_Nota[DESCUENTOS],Tbl_Nota[CATEGORIA],Tbl_CierreX[[#This Row],[CATEGORIA]],Tbl_Nota[FECHA],Tbl_CierreX[[#This Row],[FECHA]]))*-1)</f>
        <v>0</v>
      </c>
      <c r="E9" s="23">
        <f>IF(Tbl_CierreX[[#This Row],[DOCUMENTO]]=FACTURA,(SUMIFS(Tbl_Factura[GRAVADAS],Tbl_Factura[CATEGORIA],Tbl_CierreX[[#This Row],[CATEGORIA]],Tbl_Factura[FECHA],Tbl_CierreX[[#This Row],[FECHA]])),(SUMIFS(Tbl_Nota[GRAVADAS],Tbl_Nota[CATEGORIA],Tbl_CierreX[[#This Row],[CATEGORIA]],Tbl_Nota[FECHA],Tbl_CierreX[[#This Row],[FECHA]]))*-1)</f>
        <v>0</v>
      </c>
      <c r="F9" s="23">
        <f>IF(Tbl_CierreX[[#This Row],[DOCUMENTO]]=FACTURA,(SUMIFS(Tbl_Factura[EXENTAS],Tbl_Factura[CATEGORIA],Tbl_CierreX[[#This Row],[CATEGORIA]],Tbl_Factura[FECHA],Tbl_CierreX[[#This Row],[FECHA]])),(SUMIFS(Tbl_Nota[EXENTAS],Tbl_Nota[CATEGORIA],Tbl_CierreX[[#This Row],[CATEGORIA]],Tbl_Nota[FECHA],Tbl_CierreX[[#This Row],[FECHA]]))*-1)</f>
        <v>0</v>
      </c>
      <c r="G9" s="23">
        <f>IF(Tbl_CierreX[[#This Row],[DOCUMENTO]]=FACTURA,(SUMIFS(Tbl_Factura[SUB_TOTAL ],Tbl_Factura[CATEGORIA],Tbl_CierreX[[#This Row],[CATEGORIA]],Tbl_Factura[FECHA],Tbl_CierreX[[#This Row],[FECHA]])),(SUMIFS(Tbl_Nota[SUB_TOTAL1],Tbl_Nota[CATEGORIA],Tbl_CierreX[[#This Row],[CATEGORIA]],Tbl_Nota[FECHA],Tbl_CierreX[[#This Row],[FECHA]]))*-1)</f>
        <v>0</v>
      </c>
      <c r="H9" s="23">
        <f>IF(Tbl_CierreX[[#This Row],[DOCUMENTO]]=FACTURA,(SUMIFS(Tbl_Factura[ITBMS],Tbl_Factura[CATEGORIA],Tbl_CierreX[[#This Row],[CATEGORIA]],Tbl_Factura[FECHA],Tbl_CierreX[[#This Row],[FECHA]])),(SUMIFS(Tbl_Nota[ITBMS],Tbl_Nota[CATEGORIA],Tbl_CierreX[[#This Row],[CATEGORIA]],Tbl_Nota[FECHA],Tbl_CierreX[[#This Row],[FECHA]]))*-1)</f>
        <v>0</v>
      </c>
      <c r="I9" s="23">
        <f>IF(Tbl_CierreX[[#This Row],[DOCUMENTO]]=FACTURA,(SUMIFS(Tbl_Factura[CXCOBRAR],Tbl_Factura[CATEGORIA],Tbl_CierreX[[#This Row],[CATEGORIA]],Tbl_Factura[FECHA],Tbl_CierreX[[#This Row],[FECHA]])),(SUMIFS(Tbl_Nota[CXCOBRAR],Tbl_Nota[CATEGORIA],Tbl_CierreX[[#This Row],[CATEGORIA]],Tbl_Nota[FECHA],Tbl_CierreX[[#This Row],[FECHA]]))*-1)</f>
        <v>0</v>
      </c>
    </row>
    <row r="10" spans="1:9" ht="25.5" customHeight="1" x14ac:dyDescent="0.35">
      <c r="A10" s="28">
        <v>44377</v>
      </c>
      <c r="B10" s="1" t="s">
        <v>24</v>
      </c>
      <c r="C10" s="1" t="s">
        <v>7</v>
      </c>
      <c r="D10" s="23">
        <f>IF(Tbl_CierreX[[#This Row],[DOCUMENTO]]=FACTURA,(SUMIFS(Tbl_Factura[DESCUENTOS],Tbl_Factura[CATEGORIA],Tbl_CierreX[[#This Row],[CATEGORIA]],Tbl_Factura[FECHA],Tbl_CierreX[[#This Row],[FECHA]])),(SUMIFS(Tbl_Nota[DESCUENTOS],Tbl_Nota[CATEGORIA],Tbl_CierreX[[#This Row],[CATEGORIA]],Tbl_Nota[FECHA],Tbl_CierreX[[#This Row],[FECHA]]))*-1)</f>
        <v>0</v>
      </c>
      <c r="E10" s="23">
        <f>IF(Tbl_CierreX[[#This Row],[DOCUMENTO]]=FACTURA,(SUMIFS(Tbl_Factura[GRAVADAS],Tbl_Factura[CATEGORIA],Tbl_CierreX[[#This Row],[CATEGORIA]],Tbl_Factura[FECHA],Tbl_CierreX[[#This Row],[FECHA]])),(SUMIFS(Tbl_Nota[GRAVADAS],Tbl_Nota[CATEGORIA],Tbl_CierreX[[#This Row],[CATEGORIA]],Tbl_Nota[FECHA],Tbl_CierreX[[#This Row],[FECHA]]))*-1)</f>
        <v>0</v>
      </c>
      <c r="F10" s="23">
        <f>IF(Tbl_CierreX[[#This Row],[DOCUMENTO]]=FACTURA,(SUMIFS(Tbl_Factura[EXENTAS],Tbl_Factura[CATEGORIA],Tbl_CierreX[[#This Row],[CATEGORIA]],Tbl_Factura[FECHA],Tbl_CierreX[[#This Row],[FECHA]])),(SUMIFS(Tbl_Nota[EXENTAS],Tbl_Nota[CATEGORIA],Tbl_CierreX[[#This Row],[CATEGORIA]],Tbl_Nota[FECHA],Tbl_CierreX[[#This Row],[FECHA]]))*-1)</f>
        <v>0</v>
      </c>
      <c r="G10" s="23">
        <f>IF(Tbl_CierreX[[#This Row],[DOCUMENTO]]=FACTURA,(SUMIFS(Tbl_Factura[SUB_TOTAL ],Tbl_Factura[CATEGORIA],Tbl_CierreX[[#This Row],[CATEGORIA]],Tbl_Factura[FECHA],Tbl_CierreX[[#This Row],[FECHA]])),(SUMIFS(Tbl_Nota[SUB_TOTAL1],Tbl_Nota[CATEGORIA],Tbl_CierreX[[#This Row],[CATEGORIA]],Tbl_Nota[FECHA],Tbl_CierreX[[#This Row],[FECHA]]))*-1)</f>
        <v>0</v>
      </c>
      <c r="H10" s="23">
        <f>IF(Tbl_CierreX[[#This Row],[DOCUMENTO]]=FACTURA,(SUMIFS(Tbl_Factura[ITBMS],Tbl_Factura[CATEGORIA],Tbl_CierreX[[#This Row],[CATEGORIA]],Tbl_Factura[FECHA],Tbl_CierreX[[#This Row],[FECHA]])),(SUMIFS(Tbl_Nota[ITBMS],Tbl_Nota[CATEGORIA],Tbl_CierreX[[#This Row],[CATEGORIA]],Tbl_Nota[FECHA],Tbl_CierreX[[#This Row],[FECHA]]))*-1)</f>
        <v>0</v>
      </c>
      <c r="I10" s="23">
        <f>IF(Tbl_CierreX[[#This Row],[DOCUMENTO]]=FACTURA,(SUMIFS(Tbl_Factura[CXCOBRAR],Tbl_Factura[CATEGORIA],Tbl_CierreX[[#This Row],[CATEGORIA]],Tbl_Factura[FECHA],Tbl_CierreX[[#This Row],[FECHA]])),(SUMIFS(Tbl_Nota[CXCOBRAR],Tbl_Nota[CATEGORIA],Tbl_CierreX[[#This Row],[CATEGORIA]],Tbl_Nota[FECHA],Tbl_CierreX[[#This Row],[FECHA]]))*-1)</f>
        <v>0</v>
      </c>
    </row>
    <row r="11" spans="1:9" ht="25.5" customHeight="1" x14ac:dyDescent="0.35">
      <c r="A11" s="28">
        <v>44377</v>
      </c>
      <c r="B11" s="1" t="s">
        <v>24</v>
      </c>
      <c r="C11" s="1" t="s">
        <v>6</v>
      </c>
      <c r="D11" s="23">
        <f>IF(Tbl_CierreX[[#This Row],[DOCUMENTO]]=FACTURA,(SUMIFS(Tbl_Factura[DESCUENTOS],Tbl_Factura[CATEGORIA],Tbl_CierreX[[#This Row],[CATEGORIA]],Tbl_Factura[FECHA],Tbl_CierreX[[#This Row],[FECHA]])),(SUMIFS(Tbl_Nota[DESCUENTOS],Tbl_Nota[CATEGORIA],Tbl_CierreX[[#This Row],[CATEGORIA]],Tbl_Nota[FECHA],Tbl_CierreX[[#This Row],[FECHA]]))*-1)</f>
        <v>0</v>
      </c>
      <c r="E11" s="23">
        <f>IF(Tbl_CierreX[[#This Row],[DOCUMENTO]]=FACTURA,(SUMIFS(Tbl_Factura[GRAVADAS],Tbl_Factura[CATEGORIA],Tbl_CierreX[[#This Row],[CATEGORIA]],Tbl_Factura[FECHA],Tbl_CierreX[[#This Row],[FECHA]])),(SUMIFS(Tbl_Nota[GRAVADAS],Tbl_Nota[CATEGORIA],Tbl_CierreX[[#This Row],[CATEGORIA]],Tbl_Nota[FECHA],Tbl_CierreX[[#This Row],[FECHA]]))*-1)</f>
        <v>0</v>
      </c>
      <c r="F11" s="23">
        <f>IF(Tbl_CierreX[[#This Row],[DOCUMENTO]]=FACTURA,(SUMIFS(Tbl_Factura[EXENTAS],Tbl_Factura[CATEGORIA],Tbl_CierreX[[#This Row],[CATEGORIA]],Tbl_Factura[FECHA],Tbl_CierreX[[#This Row],[FECHA]])),(SUMIFS(Tbl_Nota[EXENTAS],Tbl_Nota[CATEGORIA],Tbl_CierreX[[#This Row],[CATEGORIA]],Tbl_Nota[FECHA],Tbl_CierreX[[#This Row],[FECHA]]))*-1)</f>
        <v>0</v>
      </c>
      <c r="G11" s="23">
        <f>IF(Tbl_CierreX[[#This Row],[DOCUMENTO]]=FACTURA,(SUMIFS(Tbl_Factura[SUB_TOTAL ],Tbl_Factura[CATEGORIA],Tbl_CierreX[[#This Row],[CATEGORIA]],Tbl_Factura[FECHA],Tbl_CierreX[[#This Row],[FECHA]])),(SUMIFS(Tbl_Nota[SUB_TOTAL1],Tbl_Nota[CATEGORIA],Tbl_CierreX[[#This Row],[CATEGORIA]],Tbl_Nota[FECHA],Tbl_CierreX[[#This Row],[FECHA]]))*-1)</f>
        <v>0</v>
      </c>
      <c r="H11" s="23">
        <f>IF(Tbl_CierreX[[#This Row],[DOCUMENTO]]=FACTURA,(SUMIFS(Tbl_Factura[ITBMS],Tbl_Factura[CATEGORIA],Tbl_CierreX[[#This Row],[CATEGORIA]],Tbl_Factura[FECHA],Tbl_CierreX[[#This Row],[FECHA]])),(SUMIFS(Tbl_Nota[ITBMS],Tbl_Nota[CATEGORIA],Tbl_CierreX[[#This Row],[CATEGORIA]],Tbl_Nota[FECHA],Tbl_CierreX[[#This Row],[FECHA]]))*-1)</f>
        <v>0</v>
      </c>
      <c r="I11" s="23">
        <f>IF(Tbl_CierreX[[#This Row],[DOCUMENTO]]=FACTURA,(SUMIFS(Tbl_Factura[CXCOBRAR],Tbl_Factura[CATEGORIA],Tbl_CierreX[[#This Row],[CATEGORIA]],Tbl_Factura[FECHA],Tbl_CierreX[[#This Row],[FECHA]])),(SUMIFS(Tbl_Nota[CXCOBRAR],Tbl_Nota[CATEGORIA],Tbl_CierreX[[#This Row],[CATEGORIA]],Tbl_Nota[FECHA],Tbl_CierreX[[#This Row],[FECHA]]))*-1)</f>
        <v>0</v>
      </c>
    </row>
    <row r="12" spans="1:9" ht="25.5" customHeight="1" x14ac:dyDescent="0.35">
      <c r="A12" s="1" t="s">
        <v>0</v>
      </c>
      <c r="D12" s="23">
        <f>SUBTOTAL(109,Tbl_CierreX[DESCUENTOS])</f>
        <v>0</v>
      </c>
      <c r="E12" s="23">
        <f>SUBTOTAL(109,Tbl_CierreX[GRAVADAS])</f>
        <v>0</v>
      </c>
      <c r="F12" s="23">
        <f>SUBTOTAL(109,Tbl_CierreX[EXENTAS])</f>
        <v>0</v>
      </c>
      <c r="G12" s="23">
        <f>SUBTOTAL(109,Tbl_CierreX[SUB TOTAL])</f>
        <v>0</v>
      </c>
      <c r="H12" s="23">
        <f>SUBTOTAL(109,Tbl_CierreX[ITBMS])</f>
        <v>0</v>
      </c>
      <c r="I12" s="23">
        <f>SUBTOTAL(109,Tbl_CierreX[CXCOBRAR])</f>
        <v>0</v>
      </c>
    </row>
    <row r="13" spans="1:9" ht="25.5" customHeight="1" x14ac:dyDescent="0.35"/>
    <row r="14" spans="1:9" ht="25.5" customHeight="1" x14ac:dyDescent="0.35"/>
    <row r="15" spans="1:9" ht="25.5" customHeight="1" x14ac:dyDescent="0.35"/>
    <row r="16" spans="1:9" ht="25.5" customHeight="1" x14ac:dyDescent="0.35"/>
    <row r="17" ht="25.5" customHeight="1" x14ac:dyDescent="0.35"/>
    <row r="18" ht="25.5" customHeight="1" x14ac:dyDescent="0.35"/>
    <row r="19" ht="25.5" customHeight="1" x14ac:dyDescent="0.35"/>
    <row r="20" ht="25.5" customHeight="1" x14ac:dyDescent="0.35"/>
    <row r="21" ht="25.5" customHeight="1" x14ac:dyDescent="0.35"/>
    <row r="22" ht="25.5" customHeight="1" x14ac:dyDescent="0.35"/>
    <row r="23" ht="25.5" customHeight="1" x14ac:dyDescent="0.35"/>
    <row r="24" ht="25.5" customHeight="1" x14ac:dyDescent="0.35"/>
    <row r="25" ht="25.5" customHeight="1" x14ac:dyDescent="0.35"/>
    <row r="26" ht="25.5" customHeight="1" x14ac:dyDescent="0.35"/>
    <row r="27" ht="25.5" customHeight="1" x14ac:dyDescent="0.35"/>
    <row r="28" ht="25.5" customHeight="1" x14ac:dyDescent="0.35"/>
    <row r="29" ht="25.5" customHeight="1" x14ac:dyDescent="0.35"/>
    <row r="30" ht="25.5" customHeight="1" x14ac:dyDescent="0.35"/>
    <row r="31" ht="25.5" customHeight="1" x14ac:dyDescent="0.35"/>
    <row r="32" ht="21" customHeight="1" x14ac:dyDescent="0.35"/>
    <row r="33" ht="21" customHeight="1" x14ac:dyDescent="0.35"/>
    <row r="34" ht="21" customHeight="1" x14ac:dyDescent="0.35"/>
    <row r="35" ht="21" customHeight="1" x14ac:dyDescent="0.35"/>
    <row r="36" ht="21" customHeight="1" x14ac:dyDescent="0.35"/>
    <row r="37" ht="21" customHeight="1" x14ac:dyDescent="0.35"/>
    <row r="38" ht="21" customHeight="1" x14ac:dyDescent="0.35"/>
    <row r="39" ht="21" customHeight="1" x14ac:dyDescent="0.35"/>
    <row r="40" ht="21" customHeight="1" x14ac:dyDescent="0.35"/>
    <row r="41" ht="21" customHeight="1" x14ac:dyDescent="0.35"/>
    <row r="42" ht="21" customHeight="1" x14ac:dyDescent="0.35"/>
    <row r="43" ht="21" customHeight="1" x14ac:dyDescent="0.35"/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0.39997558519241921"/>
  </sheetPr>
  <dimension ref="A1:P27"/>
  <sheetViews>
    <sheetView showGridLines="0" zoomScale="85" zoomScaleNormal="85" workbookViewId="0">
      <pane ySplit="7" topLeftCell="A11" activePane="bottomLeft" state="frozen"/>
      <selection activeCell="C1" sqref="C1"/>
      <selection pane="bottomLeft" activeCell="B25" sqref="B25"/>
    </sheetView>
  </sheetViews>
  <sheetFormatPr baseColWidth="10" defaultRowHeight="14.5" x14ac:dyDescent="0.35"/>
  <cols>
    <col min="1" max="1" width="29.54296875" customWidth="1"/>
    <col min="2" max="2" width="18.6328125" customWidth="1"/>
    <col min="3" max="3" width="10.08984375" customWidth="1"/>
    <col min="4" max="4" width="15" style="20" customWidth="1"/>
    <col min="5" max="5" width="16.6328125" customWidth="1"/>
    <col min="6" max="6" width="15.54296875" customWidth="1"/>
    <col min="7" max="7" width="13.453125" customWidth="1"/>
    <col min="8" max="8" width="16.453125" customWidth="1"/>
    <col min="9" max="9" width="15.36328125" customWidth="1"/>
    <col min="10" max="10" width="12.90625" customWidth="1"/>
    <col min="11" max="11" width="15" customWidth="1"/>
    <col min="12" max="12" width="13.08984375" customWidth="1"/>
    <col min="13" max="13" width="8.453125" customWidth="1"/>
    <col min="14" max="14" width="7.90625" customWidth="1"/>
    <col min="15" max="15" width="13.90625" customWidth="1"/>
    <col min="16" max="16" width="17.36328125" customWidth="1"/>
  </cols>
  <sheetData>
    <row r="1" spans="1:16" ht="15.5" x14ac:dyDescent="0.35">
      <c r="A1" s="66"/>
      <c r="B1" s="67"/>
    </row>
    <row r="2" spans="1:16" ht="15.5" x14ac:dyDescent="0.35">
      <c r="A2" s="68">
        <v>44377</v>
      </c>
      <c r="B2" s="69"/>
    </row>
    <row r="3" spans="1:16" x14ac:dyDescent="0.35">
      <c r="A3" s="53" t="s">
        <v>52</v>
      </c>
      <c r="B3" s="53" t="s">
        <v>53</v>
      </c>
    </row>
    <row r="4" spans="1:16" x14ac:dyDescent="0.35">
      <c r="A4" s="51" t="s">
        <v>51</v>
      </c>
      <c r="B4" s="50">
        <f>Tbl_CierreX[[#Totals],[EXENTAS]]</f>
        <v>0</v>
      </c>
      <c r="D4" s="59" t="s">
        <v>23</v>
      </c>
      <c r="E4" s="59" t="s">
        <v>61</v>
      </c>
      <c r="F4" s="59" t="s">
        <v>62</v>
      </c>
      <c r="G4" s="59" t="s">
        <v>2</v>
      </c>
      <c r="H4" s="59" t="s">
        <v>68</v>
      </c>
      <c r="I4" s="59" t="s">
        <v>63</v>
      </c>
      <c r="J4" s="59" t="s">
        <v>64</v>
      </c>
      <c r="K4" s="59" t="s">
        <v>65</v>
      </c>
      <c r="L4" s="59" t="s">
        <v>66</v>
      </c>
      <c r="M4" s="59" t="s">
        <v>67</v>
      </c>
      <c r="N4" s="59" t="s">
        <v>17</v>
      </c>
      <c r="O4" s="59" t="s">
        <v>18</v>
      </c>
      <c r="P4" s="59" t="s">
        <v>69</v>
      </c>
    </row>
    <row r="5" spans="1:16" x14ac:dyDescent="0.35">
      <c r="A5" s="51" t="s">
        <v>37</v>
      </c>
      <c r="B5" s="50">
        <f>SUMIFS(Tbl_CierreX[ITBMS],Tbl_CierreX[CATEGORIA],CRITERIOS!$A$2)+SUMIFS(Tbl_CierreX[ITBMS],Tbl_CierreX[CATEGORIA],CRITERIOS!$A$3)</f>
        <v>0</v>
      </c>
      <c r="D5" s="27">
        <f>A2</f>
        <v>44377</v>
      </c>
      <c r="E5" s="58">
        <f>B15</f>
        <v>0</v>
      </c>
      <c r="F5" s="58">
        <f>B17</f>
        <v>0</v>
      </c>
      <c r="G5" s="58">
        <f>B18</f>
        <v>0</v>
      </c>
      <c r="H5" s="58">
        <f>B19</f>
        <v>0</v>
      </c>
      <c r="I5" s="58">
        <f>B21</f>
        <v>0</v>
      </c>
      <c r="J5" s="58">
        <f>B22</f>
        <v>0</v>
      </c>
      <c r="K5" s="58">
        <f>B23</f>
        <v>0</v>
      </c>
      <c r="L5" s="58">
        <f>B25</f>
        <v>0</v>
      </c>
      <c r="M5" s="58">
        <v>0</v>
      </c>
      <c r="N5" s="58">
        <v>0</v>
      </c>
      <c r="O5" s="58">
        <f>B4</f>
        <v>0</v>
      </c>
      <c r="P5" s="58">
        <f>B15</f>
        <v>0</v>
      </c>
    </row>
    <row r="6" spans="1:16" x14ac:dyDescent="0.35">
      <c r="A6" s="51" t="s">
        <v>38</v>
      </c>
      <c r="B6" s="50">
        <f>SUMIFS(Tbl_CierreX[ITBMS],Tbl_CierreX[CATEGORIA],CRITERIOS!$A$4)+SUMIFS(Tbl_CierreX[ITBMS],Tbl_CierreX[CATEGORIA],CRITERIOS!$A$5)</f>
        <v>0</v>
      </c>
    </row>
    <row r="7" spans="1:16" x14ac:dyDescent="0.35">
      <c r="A7" s="51" t="s">
        <v>39</v>
      </c>
      <c r="B7" s="50">
        <f>SUMIFS(Tbl_CierreX[ITBMS],Tbl_CierreX[CATEGORIA],CRITERIOS!$A$6)</f>
        <v>0</v>
      </c>
      <c r="D7" s="59" t="s">
        <v>23</v>
      </c>
      <c r="E7" s="59" t="s">
        <v>61</v>
      </c>
      <c r="F7" s="59" t="s">
        <v>62</v>
      </c>
      <c r="G7" s="59" t="s">
        <v>2</v>
      </c>
      <c r="H7" s="59" t="s">
        <v>68</v>
      </c>
      <c r="I7" s="59" t="s">
        <v>63</v>
      </c>
      <c r="J7" s="59" t="s">
        <v>64</v>
      </c>
      <c r="K7" s="59" t="s">
        <v>65</v>
      </c>
      <c r="L7" s="59" t="s">
        <v>66</v>
      </c>
      <c r="M7" s="59" t="s">
        <v>67</v>
      </c>
      <c r="N7" s="59" t="s">
        <v>17</v>
      </c>
      <c r="O7" s="59" t="s">
        <v>18</v>
      </c>
      <c r="P7" s="59" t="s">
        <v>69</v>
      </c>
    </row>
    <row r="8" spans="1:16" x14ac:dyDescent="0.35">
      <c r="A8" s="51"/>
      <c r="B8" s="50"/>
      <c r="D8" s="27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</row>
    <row r="9" spans="1:16" x14ac:dyDescent="0.35">
      <c r="A9" s="51" t="s">
        <v>40</v>
      </c>
      <c r="B9" s="50">
        <f>SUMIFS(Tbl_CierreX[SUB TOTAL],Tbl_CierreX[DOCUMENTO],FACTURA)</f>
        <v>0</v>
      </c>
      <c r="D9" s="27" t="s">
        <v>0</v>
      </c>
      <c r="E9" s="58">
        <f>SUBTOTAL(109,Tabla16[GAVETA])</f>
        <v>0</v>
      </c>
      <c r="F9" s="58">
        <f>SUBTOTAL(109,Tabla16[VENTAS])</f>
        <v>0</v>
      </c>
      <c r="G9" s="58">
        <f>SUBTOTAL(109,Tabla16[ITBMS])</f>
        <v>0</v>
      </c>
      <c r="H9" s="58">
        <f>SUBTOTAL(109,Tabla16[TOTAL1])</f>
        <v>0</v>
      </c>
      <c r="I9" s="58">
        <f>SUBTOTAL(109,Tabla16[DEV])</f>
        <v>0</v>
      </c>
      <c r="J9" s="58">
        <f>SUBTOTAL(109,Tabla16[ITBMS2])</f>
        <v>0</v>
      </c>
      <c r="K9" s="58">
        <f>SUBTOTAL(109,Tabla16[TOTAL2])</f>
        <v>0</v>
      </c>
      <c r="L9" s="58">
        <f>SUBTOTAL(109,Tabla16[DESC])</f>
        <v>0</v>
      </c>
      <c r="M9" s="58">
        <f>SUBTOTAL(109,Tabla16[ITBMS3])</f>
        <v>0</v>
      </c>
      <c r="N9" s="58">
        <f>SUBTOTAL(109,Tabla16[TOTAL])</f>
        <v>0</v>
      </c>
      <c r="O9" s="58">
        <f>SUBTOTAL(109,Tabla16[EXENTAS])</f>
        <v>0</v>
      </c>
      <c r="P9" s="58">
        <f>SUBTOTAL(109,Tabla16[TOTAL3])</f>
        <v>0</v>
      </c>
    </row>
    <row r="10" spans="1:16" x14ac:dyDescent="0.35">
      <c r="A10" s="51" t="s">
        <v>41</v>
      </c>
      <c r="B10" s="50">
        <f>SUMIFS(Tbl_CierreX[SUB TOTAL],Tbl_CierreX[DOCUMENTO],NOTA_DE_CREDITO)*-1</f>
        <v>0</v>
      </c>
    </row>
    <row r="11" spans="1:16" x14ac:dyDescent="0.35">
      <c r="A11" s="51" t="s">
        <v>42</v>
      </c>
      <c r="B11" s="50">
        <v>0</v>
      </c>
    </row>
    <row r="12" spans="1:16" x14ac:dyDescent="0.35">
      <c r="A12" s="51"/>
      <c r="B12" s="50"/>
    </row>
    <row r="13" spans="1:16" x14ac:dyDescent="0.35">
      <c r="A13" s="51" t="s">
        <v>43</v>
      </c>
      <c r="B13" s="52"/>
    </row>
    <row r="14" spans="1:16" x14ac:dyDescent="0.35">
      <c r="A14" s="51" t="s">
        <v>44</v>
      </c>
      <c r="B14" s="52"/>
    </row>
    <row r="15" spans="1:16" x14ac:dyDescent="0.35">
      <c r="A15" s="51" t="s">
        <v>45</v>
      </c>
      <c r="B15" s="50">
        <f>Tbl_CierreX[[#Totals],[CXCOBRAR]]</f>
        <v>0</v>
      </c>
      <c r="D15"/>
    </row>
    <row r="16" spans="1:16" x14ac:dyDescent="0.35">
      <c r="A16" s="51"/>
      <c r="B16" s="50"/>
      <c r="D16"/>
    </row>
    <row r="17" spans="1:4" x14ac:dyDescent="0.35">
      <c r="A17" s="51" t="s">
        <v>54</v>
      </c>
      <c r="B17" s="50">
        <f>SUMIFS(Tbl_CierreX[SUB TOTAL],Tbl_CierreX[DOCUMENTO],FACTURA)</f>
        <v>0</v>
      </c>
      <c r="D17"/>
    </row>
    <row r="18" spans="1:4" x14ac:dyDescent="0.35">
      <c r="A18" s="51" t="s">
        <v>47</v>
      </c>
      <c r="B18" s="50">
        <f>SUMIFS(Tbl_CierreX[ITBMS],Tbl_CierreX[DOCUMENTO],FACTURA)</f>
        <v>0</v>
      </c>
      <c r="D18"/>
    </row>
    <row r="19" spans="1:4" x14ac:dyDescent="0.35">
      <c r="A19" s="51" t="s">
        <v>46</v>
      </c>
      <c r="B19" s="50">
        <f>SUMIFS(Tbl_CierreX[CXCOBRAR],Tbl_CierreX[DOCUMENTO],FACTURA)</f>
        <v>0</v>
      </c>
      <c r="D19"/>
    </row>
    <row r="20" spans="1:4" x14ac:dyDescent="0.35">
      <c r="A20" s="51"/>
      <c r="B20" s="50"/>
      <c r="D20"/>
    </row>
    <row r="21" spans="1:4" x14ac:dyDescent="0.35">
      <c r="A21" s="51" t="s">
        <v>48</v>
      </c>
      <c r="B21" s="50">
        <f>SUMIFS(Tbl_CierreX[SUB TOTAL],Tbl_CierreX[DOCUMENTO],NOTA_DE_CREDITO)*-1</f>
        <v>0</v>
      </c>
      <c r="D21"/>
    </row>
    <row r="22" spans="1:4" x14ac:dyDescent="0.35">
      <c r="A22" s="51" t="s">
        <v>49</v>
      </c>
      <c r="B22" s="50">
        <f>SUMIFS(Tbl_CierreX[ITBMS],Tbl_CierreX[DOCUMENTO],NOTA_DE_CREDITO)*-1</f>
        <v>0</v>
      </c>
      <c r="D22"/>
    </row>
    <row r="23" spans="1:4" x14ac:dyDescent="0.35">
      <c r="A23" s="51" t="s">
        <v>50</v>
      </c>
      <c r="B23" s="50">
        <f>SUMIFS(Tbl_CierreX[CXCOBRAR],Tbl_CierreX[DOCUMENTO],NOTA_DE_CREDITO)*-1</f>
        <v>0</v>
      </c>
      <c r="D23"/>
    </row>
    <row r="24" spans="1:4" x14ac:dyDescent="0.35">
      <c r="A24" s="51"/>
      <c r="B24" s="50"/>
    </row>
    <row r="25" spans="1:4" x14ac:dyDescent="0.35">
      <c r="A25" s="51" t="s">
        <v>33</v>
      </c>
      <c r="B25" s="50">
        <f>SUM(Tbl_CierreX[[#Totals],[DESCUENTOS]])</f>
        <v>0</v>
      </c>
    </row>
    <row r="26" spans="1:4" x14ac:dyDescent="0.35">
      <c r="A26" s="51" t="s">
        <v>55</v>
      </c>
      <c r="B26" s="52"/>
    </row>
    <row r="27" spans="1:4" x14ac:dyDescent="0.35">
      <c r="A27" s="51" t="s">
        <v>56</v>
      </c>
      <c r="B27" s="52"/>
    </row>
  </sheetData>
  <mergeCells count="2">
    <mergeCell ref="A1:B1"/>
    <mergeCell ref="A2:B2"/>
  </mergeCells>
  <pageMargins left="0.2" right="0.2" top="0.74803149606299213" bottom="0.74803149606299213" header="0.31496062992125984" footer="0.31496062992125984"/>
  <pageSetup scale="80" orientation="landscape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59999389629810485"/>
  </sheetPr>
  <dimension ref="A1:TR286"/>
  <sheetViews>
    <sheetView showGridLines="0" zoomScale="70" zoomScaleNormal="70" workbookViewId="0">
      <selection activeCell="G25" sqref="G25"/>
    </sheetView>
  </sheetViews>
  <sheetFormatPr baseColWidth="10" defaultColWidth="11.453125" defaultRowHeight="18.5" x14ac:dyDescent="0.45"/>
  <cols>
    <col min="1" max="1" width="24.36328125" style="47" customWidth="1"/>
    <col min="2" max="2" width="17.36328125" style="47" customWidth="1"/>
    <col min="3" max="5" width="2.90625" style="47" customWidth="1"/>
    <col min="6" max="6" width="34.54296875" style="47" customWidth="1"/>
    <col min="7" max="7" width="32" style="57" customWidth="1"/>
    <col min="8" max="8" width="17.6328125" style="56" customWidth="1"/>
    <col min="9" max="9" width="8.54296875" style="47" customWidth="1"/>
    <col min="10" max="14" width="17.36328125" style="47" customWidth="1"/>
    <col min="15" max="15" width="8.54296875" style="47" customWidth="1"/>
    <col min="16" max="16" width="21.54296875" style="47" customWidth="1"/>
    <col min="17" max="17" width="27.36328125" style="47" customWidth="1"/>
    <col min="18" max="18" width="10.90625" style="47" customWidth="1"/>
    <col min="19" max="19" width="7.453125" style="47" customWidth="1"/>
    <col min="20" max="24" width="24.36328125" style="47" customWidth="1"/>
    <col min="25" max="25" width="21.54296875" style="47" customWidth="1"/>
    <col min="26" max="26" width="17.08984375" style="47" customWidth="1"/>
    <col min="27" max="27" width="21.54296875" style="47" customWidth="1"/>
    <col min="28" max="29" width="27.36328125" style="47" customWidth="1"/>
    <col min="30" max="30" width="21.54296875" style="47" customWidth="1"/>
    <col min="31" max="31" width="8.54296875" style="47" customWidth="1"/>
    <col min="32" max="32" width="21.6328125" style="47" customWidth="1"/>
    <col min="33" max="33" width="14.6328125" style="47" customWidth="1"/>
    <col min="34" max="34" width="10.54296875" style="47" customWidth="1"/>
    <col min="35" max="35" width="14.6328125" style="47" customWidth="1"/>
    <col min="36" max="36" width="10.54296875" style="47" customWidth="1"/>
    <col min="37" max="37" width="14.6328125" style="47" customWidth="1"/>
    <col min="38" max="38" width="10.54296875" style="47" customWidth="1"/>
    <col min="39" max="39" width="14.6328125" style="47" customWidth="1"/>
    <col min="40" max="40" width="10.54296875" style="47" customWidth="1"/>
    <col min="41" max="41" width="14.6328125" style="47" customWidth="1"/>
    <col min="42" max="42" width="10.54296875" style="47" customWidth="1"/>
    <col min="43" max="43" width="14.6328125" style="47" customWidth="1"/>
    <col min="44" max="44" width="10.54296875" style="47" customWidth="1"/>
    <col min="45" max="45" width="14.6328125" style="47" customWidth="1"/>
    <col min="46" max="46" width="10.54296875" style="47" customWidth="1"/>
    <col min="47" max="47" width="14.6328125" style="47" customWidth="1"/>
    <col min="48" max="48" width="10.54296875" style="47" customWidth="1"/>
    <col min="49" max="49" width="14.6328125" style="47" customWidth="1"/>
    <col min="50" max="50" width="10.54296875" style="47" customWidth="1"/>
    <col min="51" max="51" width="14.6328125" style="47" customWidth="1"/>
    <col min="52" max="52" width="10.54296875" style="47" customWidth="1"/>
    <col min="53" max="53" width="14.6328125" style="47" customWidth="1"/>
    <col min="54" max="54" width="10.54296875" style="47" customWidth="1"/>
    <col min="55" max="55" width="14.6328125" style="47" customWidth="1"/>
    <col min="56" max="56" width="10.54296875" style="47" customWidth="1"/>
    <col min="57" max="57" width="14.6328125" style="47" customWidth="1"/>
    <col min="58" max="58" width="10.54296875" style="47" customWidth="1"/>
    <col min="59" max="59" width="14.6328125" style="47" customWidth="1"/>
    <col min="60" max="60" width="10.54296875" style="47" customWidth="1"/>
    <col min="61" max="61" width="14.6328125" style="47" customWidth="1"/>
    <col min="62" max="62" width="10.54296875" style="47" customWidth="1"/>
    <col min="63" max="63" width="14.6328125" style="47" customWidth="1"/>
    <col min="64" max="64" width="10.54296875" style="47" customWidth="1"/>
    <col min="65" max="65" width="14.6328125" style="47" customWidth="1"/>
    <col min="66" max="66" width="10.54296875" style="47" customWidth="1"/>
    <col min="67" max="67" width="14.6328125" style="47" customWidth="1"/>
    <col min="68" max="68" width="10.54296875" style="47" customWidth="1"/>
    <col min="69" max="69" width="14.6328125" style="47" customWidth="1"/>
    <col min="70" max="70" width="10.54296875" style="47" customWidth="1"/>
    <col min="71" max="71" width="14.6328125" style="47" customWidth="1"/>
    <col min="72" max="72" width="10.54296875" style="47" customWidth="1"/>
    <col min="73" max="73" width="14.6328125" style="47" customWidth="1"/>
    <col min="74" max="74" width="10.54296875" style="47" customWidth="1"/>
    <col min="75" max="75" width="14.6328125" style="47" customWidth="1"/>
    <col min="76" max="76" width="10.54296875" style="47" customWidth="1"/>
    <col min="77" max="77" width="14.6328125" style="47" customWidth="1"/>
    <col min="78" max="78" width="10.54296875" style="47" customWidth="1"/>
    <col min="79" max="79" width="14.6328125" style="47" customWidth="1"/>
    <col min="80" max="80" width="10.54296875" style="47" customWidth="1"/>
    <col min="81" max="81" width="14.6328125" style="47" customWidth="1"/>
    <col min="82" max="82" width="10.54296875" style="47" customWidth="1"/>
    <col min="83" max="83" width="14.6328125" style="47" customWidth="1"/>
    <col min="84" max="84" width="10.54296875" style="47" customWidth="1"/>
    <col min="85" max="85" width="14.6328125" style="47" customWidth="1"/>
    <col min="86" max="86" width="10.54296875" style="47" customWidth="1"/>
    <col min="87" max="87" width="14.6328125" style="47" customWidth="1"/>
    <col min="88" max="88" width="10.54296875" style="47" customWidth="1"/>
    <col min="89" max="89" width="14.6328125" style="47" customWidth="1"/>
    <col min="90" max="90" width="10.54296875" style="47" customWidth="1"/>
    <col min="91" max="91" width="14.6328125" style="47" customWidth="1"/>
    <col min="92" max="92" width="10.54296875" style="47" customWidth="1"/>
    <col min="93" max="93" width="14.6328125" style="47" customWidth="1"/>
    <col min="94" max="94" width="10.54296875" style="47" customWidth="1"/>
    <col min="95" max="95" width="14.6328125" style="47" customWidth="1"/>
    <col min="96" max="96" width="10.54296875" style="47" customWidth="1"/>
    <col min="97" max="97" width="14.6328125" style="47" customWidth="1"/>
    <col min="98" max="98" width="10.54296875" style="47" customWidth="1"/>
    <col min="99" max="99" width="14.6328125" style="47" customWidth="1"/>
    <col min="100" max="100" width="10.54296875" style="47" customWidth="1"/>
    <col min="101" max="101" width="14.6328125" style="47" customWidth="1"/>
    <col min="102" max="102" width="10.54296875" style="47" customWidth="1"/>
    <col min="103" max="103" width="14.6328125" style="47" customWidth="1"/>
    <col min="104" max="104" width="10.54296875" style="47" customWidth="1"/>
    <col min="105" max="105" width="14.6328125" style="47" customWidth="1"/>
    <col min="106" max="106" width="10.54296875" style="47" customWidth="1"/>
    <col min="107" max="107" width="14.6328125" style="47" customWidth="1"/>
    <col min="108" max="108" width="10.54296875" style="47" customWidth="1"/>
    <col min="109" max="109" width="14.6328125" style="47" customWidth="1"/>
    <col min="110" max="110" width="10.54296875" style="47" customWidth="1"/>
    <col min="111" max="111" width="14.6328125" style="47" customWidth="1"/>
    <col min="112" max="112" width="10.54296875" style="47" customWidth="1"/>
    <col min="113" max="113" width="14.6328125" style="47" customWidth="1"/>
    <col min="114" max="114" width="10.54296875" style="47" customWidth="1"/>
    <col min="115" max="115" width="14.6328125" style="47" customWidth="1"/>
    <col min="116" max="116" width="10.54296875" style="47" customWidth="1"/>
    <col min="117" max="117" width="14.6328125" style="47" customWidth="1"/>
    <col min="118" max="118" width="10.54296875" style="47" customWidth="1"/>
    <col min="119" max="119" width="14.6328125" style="47" customWidth="1"/>
    <col min="120" max="120" width="10.54296875" style="47" customWidth="1"/>
    <col min="121" max="121" width="14.6328125" style="47" customWidth="1"/>
    <col min="122" max="122" width="10.54296875" style="47" customWidth="1"/>
    <col min="123" max="123" width="14.6328125" style="47" customWidth="1"/>
    <col min="124" max="124" width="10.54296875" style="47" customWidth="1"/>
    <col min="125" max="125" width="14.6328125" style="47" customWidth="1"/>
    <col min="126" max="126" width="10.54296875" style="47" customWidth="1"/>
    <col min="127" max="127" width="14.6328125" style="47" customWidth="1"/>
    <col min="128" max="128" width="10.54296875" style="47" customWidth="1"/>
    <col min="129" max="129" width="14.6328125" style="47" customWidth="1"/>
    <col min="130" max="130" width="10.54296875" style="47" customWidth="1"/>
    <col min="131" max="131" width="14.6328125" style="47" customWidth="1"/>
    <col min="132" max="132" width="10.54296875" style="47" customWidth="1"/>
    <col min="133" max="133" width="14.6328125" style="47" customWidth="1"/>
    <col min="134" max="134" width="10.54296875" style="47" customWidth="1"/>
    <col min="135" max="135" width="14.6328125" style="47" customWidth="1"/>
    <col min="136" max="136" width="10.54296875" style="47" customWidth="1"/>
    <col min="137" max="137" width="14.6328125" style="47" customWidth="1"/>
    <col min="138" max="138" width="10.54296875" style="47" customWidth="1"/>
    <col min="139" max="139" width="14.6328125" style="47" customWidth="1"/>
    <col min="140" max="140" width="10.54296875" style="47" customWidth="1"/>
    <col min="141" max="141" width="14.6328125" style="47" customWidth="1"/>
    <col min="142" max="142" width="10.54296875" style="47" customWidth="1"/>
    <col min="143" max="143" width="14.6328125" style="47" customWidth="1"/>
    <col min="144" max="144" width="10.54296875" style="47" customWidth="1"/>
    <col min="145" max="145" width="14.6328125" style="47" customWidth="1"/>
    <col min="146" max="146" width="10.54296875" style="47" customWidth="1"/>
    <col min="147" max="147" width="14.6328125" style="47" customWidth="1"/>
    <col min="148" max="148" width="10.54296875" style="47" customWidth="1"/>
    <col min="149" max="149" width="14.6328125" style="47" customWidth="1"/>
    <col min="150" max="150" width="10.54296875" style="47" customWidth="1"/>
    <col min="151" max="151" width="14.6328125" style="47" customWidth="1"/>
    <col min="152" max="152" width="10.54296875" style="47" customWidth="1"/>
    <col min="153" max="153" width="14.6328125" style="47" customWidth="1"/>
    <col min="154" max="154" width="10.54296875" style="47" customWidth="1"/>
    <col min="155" max="155" width="14.6328125" style="47" customWidth="1"/>
    <col min="156" max="156" width="10.54296875" style="47" customWidth="1"/>
    <col min="157" max="157" width="14.6328125" style="47" customWidth="1"/>
    <col min="158" max="158" width="10.54296875" style="47" customWidth="1"/>
    <col min="159" max="159" width="14.6328125" style="47" customWidth="1"/>
    <col min="160" max="160" width="10.54296875" style="47" customWidth="1"/>
    <col min="161" max="161" width="14.6328125" style="47" customWidth="1"/>
    <col min="162" max="162" width="10.54296875" style="47" customWidth="1"/>
    <col min="163" max="163" width="14.6328125" style="47" customWidth="1"/>
    <col min="164" max="164" width="10.54296875" style="47" customWidth="1"/>
    <col min="165" max="165" width="14.6328125" style="47" customWidth="1"/>
    <col min="166" max="166" width="10.54296875" style="47" customWidth="1"/>
    <col min="167" max="167" width="14.6328125" style="47" customWidth="1"/>
    <col min="168" max="168" width="10.54296875" style="47" customWidth="1"/>
    <col min="169" max="169" width="14.6328125" style="47" customWidth="1"/>
    <col min="170" max="170" width="10.54296875" style="47" customWidth="1"/>
    <col min="171" max="171" width="14.6328125" style="47" customWidth="1"/>
    <col min="172" max="172" width="10.54296875" style="47" customWidth="1"/>
    <col min="173" max="173" width="14.6328125" style="47" customWidth="1"/>
    <col min="174" max="174" width="10.54296875" style="47" customWidth="1"/>
    <col min="175" max="175" width="14.6328125" style="47" customWidth="1"/>
    <col min="176" max="176" width="10.54296875" style="47" customWidth="1"/>
    <col min="177" max="177" width="14.6328125" style="47" customWidth="1"/>
    <col min="178" max="178" width="10.54296875" style="47" customWidth="1"/>
    <col min="179" max="179" width="14.6328125" style="47" customWidth="1"/>
    <col min="180" max="180" width="10.54296875" style="47" customWidth="1"/>
    <col min="181" max="181" width="14.6328125" style="47" customWidth="1"/>
    <col min="182" max="182" width="10.54296875" style="47" customWidth="1"/>
    <col min="183" max="183" width="14.6328125" style="47" customWidth="1"/>
    <col min="184" max="184" width="10.54296875" style="47" customWidth="1"/>
    <col min="185" max="185" width="14.6328125" style="47" customWidth="1"/>
    <col min="186" max="186" width="10.54296875" style="47" customWidth="1"/>
    <col min="187" max="187" width="14.6328125" style="47" customWidth="1"/>
    <col min="188" max="188" width="10.54296875" style="47" customWidth="1"/>
    <col min="189" max="189" width="14.6328125" style="47" customWidth="1"/>
    <col min="190" max="190" width="10.54296875" style="47" customWidth="1"/>
    <col min="191" max="191" width="14.6328125" style="47" customWidth="1"/>
    <col min="192" max="192" width="10.54296875" style="47" customWidth="1"/>
    <col min="193" max="193" width="14.6328125" style="47" customWidth="1"/>
    <col min="194" max="194" width="10.54296875" style="47" customWidth="1"/>
    <col min="195" max="195" width="14.6328125" style="47" customWidth="1"/>
    <col min="196" max="196" width="10.54296875" style="47" customWidth="1"/>
    <col min="197" max="197" width="14.6328125" style="47" customWidth="1"/>
    <col min="198" max="198" width="10.54296875" style="47" customWidth="1"/>
    <col min="199" max="199" width="14.6328125" style="47" customWidth="1"/>
    <col min="200" max="200" width="10.54296875" style="47" customWidth="1"/>
    <col min="201" max="201" width="14.6328125" style="47" customWidth="1"/>
    <col min="202" max="202" width="10.54296875" style="47" customWidth="1"/>
    <col min="203" max="203" width="14.6328125" style="47" customWidth="1"/>
    <col min="204" max="204" width="10.54296875" style="47" customWidth="1"/>
    <col min="205" max="205" width="14.6328125" style="47" customWidth="1"/>
    <col min="206" max="206" width="10.54296875" style="47" customWidth="1"/>
    <col min="207" max="207" width="14.6328125" style="47" customWidth="1"/>
    <col min="208" max="208" width="10.54296875" style="47" customWidth="1"/>
    <col min="209" max="209" width="14.6328125" style="47" customWidth="1"/>
    <col min="210" max="210" width="10.54296875" style="47" customWidth="1"/>
    <col min="211" max="211" width="14.6328125" style="47" customWidth="1"/>
    <col min="212" max="212" width="10.54296875" style="47" customWidth="1"/>
    <col min="213" max="213" width="14.6328125" style="47" customWidth="1"/>
    <col min="214" max="214" width="10.54296875" style="47" customWidth="1"/>
    <col min="215" max="215" width="14.6328125" style="47" customWidth="1"/>
    <col min="216" max="216" width="10.54296875" style="47" customWidth="1"/>
    <col min="217" max="217" width="14.6328125" style="47" customWidth="1"/>
    <col min="218" max="218" width="10.54296875" style="47" customWidth="1"/>
    <col min="219" max="219" width="14.6328125" style="47" customWidth="1"/>
    <col min="220" max="220" width="10.54296875" style="47" customWidth="1"/>
    <col min="221" max="221" width="14.6328125" style="47" customWidth="1"/>
    <col min="222" max="222" width="10.54296875" style="47" customWidth="1"/>
    <col min="223" max="223" width="14.6328125" style="47" customWidth="1"/>
    <col min="224" max="224" width="10.54296875" style="47" customWidth="1"/>
    <col min="225" max="225" width="14.6328125" style="47" customWidth="1"/>
    <col min="226" max="226" width="10.54296875" style="47" customWidth="1"/>
    <col min="227" max="227" width="14.6328125" style="47" customWidth="1"/>
    <col min="228" max="228" width="27.36328125" style="47" customWidth="1"/>
    <col min="229" max="229" width="14.6328125" style="47" customWidth="1"/>
    <col min="230" max="230" width="10.54296875" style="47" customWidth="1"/>
    <col min="231" max="231" width="14.6328125" style="47" customWidth="1"/>
    <col min="232" max="232" width="10.54296875" style="47" customWidth="1"/>
    <col min="233" max="233" width="14.6328125" style="47" customWidth="1"/>
    <col min="234" max="234" width="10.54296875" style="47" customWidth="1"/>
    <col min="235" max="235" width="14.6328125" style="47" customWidth="1"/>
    <col min="236" max="236" width="10.54296875" style="47" customWidth="1"/>
    <col min="237" max="237" width="14.6328125" style="47" customWidth="1"/>
    <col min="238" max="238" width="10.54296875" style="47" customWidth="1"/>
    <col min="239" max="239" width="14.6328125" style="47" customWidth="1"/>
    <col min="240" max="240" width="10.54296875" style="47" customWidth="1"/>
    <col min="241" max="241" width="14.6328125" style="47" customWidth="1"/>
    <col min="242" max="242" width="10.54296875" style="47" customWidth="1"/>
    <col min="243" max="243" width="14.6328125" style="47" customWidth="1"/>
    <col min="244" max="244" width="10.54296875" style="47" customWidth="1"/>
    <col min="245" max="245" width="14.6328125" style="47" customWidth="1"/>
    <col min="246" max="246" width="10.54296875" style="47" customWidth="1"/>
    <col min="247" max="247" width="14.6328125" style="47" customWidth="1"/>
    <col min="248" max="248" width="10.54296875" style="47" customWidth="1"/>
    <col min="249" max="249" width="14.6328125" style="47" customWidth="1"/>
    <col min="250" max="250" width="10.54296875" style="47" customWidth="1"/>
    <col min="251" max="251" width="14.6328125" style="47" customWidth="1"/>
    <col min="252" max="252" width="10.54296875" style="47" customWidth="1"/>
    <col min="253" max="253" width="14.6328125" style="47" customWidth="1"/>
    <col min="254" max="254" width="10.54296875" style="47" customWidth="1"/>
    <col min="255" max="255" width="14.6328125" style="47" customWidth="1"/>
    <col min="256" max="256" width="10.54296875" style="47" customWidth="1"/>
    <col min="257" max="257" width="14.6328125" style="47" customWidth="1"/>
    <col min="258" max="258" width="10.54296875" style="47" customWidth="1"/>
    <col min="259" max="259" width="14.6328125" style="47" customWidth="1"/>
    <col min="260" max="260" width="10.54296875" style="47" customWidth="1"/>
    <col min="261" max="261" width="14.6328125" style="47" customWidth="1"/>
    <col min="262" max="262" width="10.54296875" style="47" customWidth="1"/>
    <col min="263" max="263" width="14.6328125" style="47" customWidth="1"/>
    <col min="264" max="264" width="10.54296875" style="47" customWidth="1"/>
    <col min="265" max="265" width="14.6328125" style="47" customWidth="1"/>
    <col min="266" max="266" width="10.54296875" style="47" customWidth="1"/>
    <col min="267" max="267" width="14.6328125" style="47" customWidth="1"/>
    <col min="268" max="268" width="10.54296875" style="47" customWidth="1"/>
    <col min="269" max="269" width="14.6328125" style="47" customWidth="1"/>
    <col min="270" max="270" width="10.54296875" style="47" customWidth="1"/>
    <col min="271" max="271" width="14.6328125" style="47" customWidth="1"/>
    <col min="272" max="272" width="10.54296875" style="47" customWidth="1"/>
    <col min="273" max="273" width="14.6328125" style="47" bestFit="1" customWidth="1"/>
    <col min="274" max="274" width="10.54296875" style="47" customWidth="1"/>
    <col min="275" max="275" width="14.6328125" style="47" bestFit="1" customWidth="1"/>
    <col min="276" max="276" width="10.54296875" style="47" customWidth="1"/>
    <col min="277" max="277" width="14.6328125" style="47" bestFit="1" customWidth="1"/>
    <col min="278" max="278" width="10.54296875" style="47" customWidth="1"/>
    <col min="279" max="279" width="14.6328125" style="47" bestFit="1" customWidth="1"/>
    <col min="280" max="280" width="10.54296875" style="47" customWidth="1"/>
    <col min="281" max="281" width="14.6328125" style="47" bestFit="1" customWidth="1"/>
    <col min="282" max="282" width="10.54296875" style="47" customWidth="1"/>
    <col min="283" max="283" width="14.6328125" style="47" bestFit="1" customWidth="1"/>
    <col min="284" max="284" width="10.54296875" style="47" customWidth="1"/>
    <col min="285" max="285" width="14.6328125" style="47" bestFit="1" customWidth="1"/>
    <col min="286" max="286" width="10.54296875" style="47" customWidth="1"/>
    <col min="287" max="287" width="14.6328125" style="47" bestFit="1" customWidth="1"/>
    <col min="288" max="288" width="10.54296875" style="47" customWidth="1"/>
    <col min="289" max="289" width="14.6328125" style="47" bestFit="1" customWidth="1"/>
    <col min="290" max="290" width="10.54296875" style="47" customWidth="1"/>
    <col min="291" max="291" width="14.6328125" style="47" bestFit="1" customWidth="1"/>
    <col min="292" max="292" width="10.54296875" style="47" customWidth="1"/>
    <col min="293" max="293" width="14.6328125" style="47" bestFit="1" customWidth="1"/>
    <col min="294" max="294" width="10.54296875" style="47" customWidth="1"/>
    <col min="295" max="295" width="14.6328125" style="47" bestFit="1" customWidth="1"/>
    <col min="296" max="296" width="10.54296875" style="47" customWidth="1"/>
    <col min="297" max="297" width="14.6328125" style="47" bestFit="1" customWidth="1"/>
    <col min="298" max="298" width="10.54296875" style="47" customWidth="1"/>
    <col min="299" max="299" width="14.6328125" style="47" bestFit="1" customWidth="1"/>
    <col min="300" max="300" width="10.54296875" style="47" customWidth="1"/>
    <col min="301" max="301" width="14.6328125" style="47" bestFit="1" customWidth="1"/>
    <col min="302" max="302" width="10.54296875" style="47" customWidth="1"/>
    <col min="303" max="303" width="14.6328125" style="47" bestFit="1" customWidth="1"/>
    <col min="304" max="304" width="10.54296875" style="47" customWidth="1"/>
    <col min="305" max="305" width="14.6328125" style="47" bestFit="1" customWidth="1"/>
    <col min="306" max="306" width="10.54296875" style="47" customWidth="1"/>
    <col min="307" max="307" width="14.6328125" style="47" bestFit="1" customWidth="1"/>
    <col min="308" max="308" width="10.54296875" style="47" customWidth="1"/>
    <col min="309" max="309" width="14.6328125" style="47" bestFit="1" customWidth="1"/>
    <col min="310" max="310" width="10.54296875" style="47" customWidth="1"/>
    <col min="311" max="311" width="14.6328125" style="47" bestFit="1" customWidth="1"/>
    <col min="312" max="312" width="10.54296875" style="47" customWidth="1"/>
    <col min="313" max="313" width="14.6328125" style="47" bestFit="1" customWidth="1"/>
    <col min="314" max="314" width="10.54296875" style="47" customWidth="1"/>
    <col min="315" max="315" width="14.6328125" style="47" bestFit="1" customWidth="1"/>
    <col min="316" max="316" width="10.54296875" style="47" customWidth="1"/>
    <col min="317" max="317" width="14.6328125" style="47" bestFit="1" customWidth="1"/>
    <col min="318" max="318" width="10.54296875" style="47" customWidth="1"/>
    <col min="319" max="319" width="14.6328125" style="47" bestFit="1" customWidth="1"/>
    <col min="320" max="320" width="10.54296875" style="47" customWidth="1"/>
    <col min="321" max="321" width="14.6328125" style="47" bestFit="1" customWidth="1"/>
    <col min="322" max="322" width="10.54296875" style="47" customWidth="1"/>
    <col min="323" max="323" width="14.6328125" style="47" bestFit="1" customWidth="1"/>
    <col min="324" max="324" width="10.54296875" style="47" customWidth="1"/>
    <col min="325" max="325" width="14.6328125" style="47" bestFit="1" customWidth="1"/>
    <col min="326" max="326" width="10.54296875" style="47" customWidth="1"/>
    <col min="327" max="327" width="14.6328125" style="47" bestFit="1" customWidth="1"/>
    <col min="328" max="328" width="10.54296875" style="47" customWidth="1"/>
    <col min="329" max="329" width="14.6328125" style="47" bestFit="1" customWidth="1"/>
    <col min="330" max="330" width="10.54296875" style="47" customWidth="1"/>
    <col min="331" max="331" width="14.6328125" style="47" bestFit="1" customWidth="1"/>
    <col min="332" max="332" width="10.54296875" style="47" customWidth="1"/>
    <col min="333" max="333" width="14.6328125" style="47" bestFit="1" customWidth="1"/>
    <col min="334" max="334" width="10.54296875" style="47" customWidth="1"/>
    <col min="335" max="335" width="14.6328125" style="47" bestFit="1" customWidth="1"/>
    <col min="336" max="336" width="10.54296875" style="47" customWidth="1"/>
    <col min="337" max="337" width="14.6328125" style="47" bestFit="1" customWidth="1"/>
    <col min="338" max="338" width="10.54296875" style="47" customWidth="1"/>
    <col min="339" max="339" width="14.6328125" style="47" bestFit="1" customWidth="1"/>
    <col min="340" max="340" width="10.54296875" style="47" customWidth="1"/>
    <col min="341" max="341" width="14.6328125" style="47" bestFit="1" customWidth="1"/>
    <col min="342" max="342" width="10.54296875" style="47" customWidth="1"/>
    <col min="343" max="343" width="14.6328125" style="47" bestFit="1" customWidth="1"/>
    <col min="344" max="344" width="10.54296875" style="47" customWidth="1"/>
    <col min="345" max="345" width="14.6328125" style="47" bestFit="1" customWidth="1"/>
    <col min="346" max="346" width="10.54296875" style="47" customWidth="1"/>
    <col min="347" max="347" width="14.6328125" style="47" bestFit="1" customWidth="1"/>
    <col min="348" max="348" width="10.54296875" style="47" customWidth="1"/>
    <col min="349" max="349" width="14.6328125" style="47" bestFit="1" customWidth="1"/>
    <col min="350" max="350" width="10.54296875" style="47" customWidth="1"/>
    <col min="351" max="351" width="14.6328125" style="47" bestFit="1" customWidth="1"/>
    <col min="352" max="352" width="10.54296875" style="47" customWidth="1"/>
    <col min="353" max="353" width="14.6328125" style="47" bestFit="1" customWidth="1"/>
    <col min="354" max="354" width="10.54296875" style="47" customWidth="1"/>
    <col min="355" max="355" width="14.6328125" style="47" bestFit="1" customWidth="1"/>
    <col min="356" max="356" width="10.54296875" style="47" customWidth="1"/>
    <col min="357" max="357" width="14.6328125" style="47" bestFit="1" customWidth="1"/>
    <col min="358" max="358" width="10.54296875" style="47" customWidth="1"/>
    <col min="359" max="359" width="14.6328125" style="47" bestFit="1" customWidth="1"/>
    <col min="360" max="360" width="10.54296875" style="47" customWidth="1"/>
    <col min="361" max="361" width="14.6328125" style="47" bestFit="1" customWidth="1"/>
    <col min="362" max="362" width="10.54296875" style="47" customWidth="1"/>
    <col min="363" max="363" width="14.6328125" style="47" bestFit="1" customWidth="1"/>
    <col min="364" max="364" width="10.54296875" style="47" customWidth="1"/>
    <col min="365" max="365" width="14.6328125" style="47" bestFit="1" customWidth="1"/>
    <col min="366" max="366" width="10.54296875" style="47" customWidth="1"/>
    <col min="367" max="367" width="14.6328125" style="47" bestFit="1" customWidth="1"/>
    <col min="368" max="368" width="10.54296875" style="47" customWidth="1"/>
    <col min="369" max="369" width="14.6328125" style="47" bestFit="1" customWidth="1"/>
    <col min="370" max="370" width="10.54296875" style="47" customWidth="1"/>
    <col min="371" max="371" width="14.6328125" style="47" bestFit="1" customWidth="1"/>
    <col min="372" max="372" width="10.54296875" style="47" customWidth="1"/>
    <col min="373" max="373" width="14.6328125" style="47" bestFit="1" customWidth="1"/>
    <col min="374" max="374" width="10.54296875" style="47" customWidth="1"/>
    <col min="375" max="375" width="14.6328125" style="47" bestFit="1" customWidth="1"/>
    <col min="376" max="376" width="10.54296875" style="47" customWidth="1"/>
    <col min="377" max="377" width="14.6328125" style="47" bestFit="1" customWidth="1"/>
    <col min="378" max="378" width="10.54296875" style="47" customWidth="1"/>
    <col min="379" max="379" width="14.6328125" style="47" bestFit="1" customWidth="1"/>
    <col min="380" max="380" width="10.54296875" style="47" customWidth="1"/>
    <col min="381" max="381" width="14.6328125" style="47" bestFit="1" customWidth="1"/>
    <col min="382" max="382" width="10.54296875" style="47" customWidth="1"/>
    <col min="383" max="383" width="14.6328125" style="47" bestFit="1" customWidth="1"/>
    <col min="384" max="384" width="10.54296875" style="47" customWidth="1"/>
    <col min="385" max="385" width="14.6328125" style="47" bestFit="1" customWidth="1"/>
    <col min="386" max="386" width="10.54296875" style="47" customWidth="1"/>
    <col min="387" max="387" width="14.6328125" style="47" bestFit="1" customWidth="1"/>
    <col min="388" max="388" width="10.54296875" style="47" customWidth="1"/>
    <col min="389" max="389" width="14.6328125" style="47" bestFit="1" customWidth="1"/>
    <col min="390" max="390" width="10.54296875" style="47" customWidth="1"/>
    <col min="391" max="391" width="14.6328125" style="47" bestFit="1" customWidth="1"/>
    <col min="392" max="392" width="10.54296875" style="47" customWidth="1"/>
    <col min="393" max="393" width="14.6328125" style="47" bestFit="1" customWidth="1"/>
    <col min="394" max="394" width="10.54296875" style="47" customWidth="1"/>
    <col min="395" max="395" width="14.6328125" style="47" bestFit="1" customWidth="1"/>
    <col min="396" max="396" width="10.54296875" style="47" customWidth="1"/>
    <col min="397" max="397" width="14.6328125" style="47" bestFit="1" customWidth="1"/>
    <col min="398" max="398" width="10.54296875" style="47" customWidth="1"/>
    <col min="399" max="399" width="14.6328125" style="47" bestFit="1" customWidth="1"/>
    <col min="400" max="400" width="10.54296875" style="47" customWidth="1"/>
    <col min="401" max="401" width="14.6328125" style="47" bestFit="1" customWidth="1"/>
    <col min="402" max="402" width="10.54296875" style="47" customWidth="1"/>
    <col min="403" max="403" width="14.6328125" style="47" bestFit="1" customWidth="1"/>
    <col min="404" max="404" width="10.54296875" style="47" customWidth="1"/>
    <col min="405" max="405" width="14.6328125" style="47" bestFit="1" customWidth="1"/>
    <col min="406" max="406" width="10.54296875" style="47" customWidth="1"/>
    <col min="407" max="407" width="14.6328125" style="47" bestFit="1" customWidth="1"/>
    <col min="408" max="408" width="10.54296875" style="47" customWidth="1"/>
    <col min="409" max="409" width="14.6328125" style="47" bestFit="1" customWidth="1"/>
    <col min="410" max="410" width="10.54296875" style="47" customWidth="1"/>
    <col min="411" max="411" width="14.6328125" style="47" bestFit="1" customWidth="1"/>
    <col min="412" max="412" width="10.54296875" style="47" customWidth="1"/>
    <col min="413" max="413" width="14.6328125" style="47" bestFit="1" customWidth="1"/>
    <col min="414" max="414" width="10.54296875" style="47" customWidth="1"/>
    <col min="415" max="415" width="14.6328125" style="47" bestFit="1" customWidth="1"/>
    <col min="416" max="416" width="10.54296875" style="47" customWidth="1"/>
    <col min="417" max="417" width="14.6328125" style="47" bestFit="1" customWidth="1"/>
    <col min="418" max="418" width="10.54296875" style="47" customWidth="1"/>
    <col min="419" max="419" width="14.6328125" style="47" bestFit="1" customWidth="1"/>
    <col min="420" max="420" width="10.54296875" style="47" customWidth="1"/>
    <col min="421" max="421" width="14.6328125" style="47" bestFit="1" customWidth="1"/>
    <col min="422" max="422" width="10.54296875" style="47" customWidth="1"/>
    <col min="423" max="423" width="14.6328125" style="47" bestFit="1" customWidth="1"/>
    <col min="424" max="424" width="10.54296875" style="47" customWidth="1"/>
    <col min="425" max="425" width="14.6328125" style="47" bestFit="1" customWidth="1"/>
    <col min="426" max="426" width="10.54296875" style="47" customWidth="1"/>
    <col min="427" max="427" width="14.6328125" style="47" bestFit="1" customWidth="1"/>
    <col min="428" max="428" width="10.54296875" style="47" customWidth="1"/>
    <col min="429" max="429" width="14.6328125" style="47" bestFit="1" customWidth="1"/>
    <col min="430" max="430" width="10.54296875" style="47" customWidth="1"/>
    <col min="431" max="431" width="14.6328125" style="47" bestFit="1" customWidth="1"/>
    <col min="432" max="432" width="10.54296875" style="47" customWidth="1"/>
    <col min="433" max="433" width="14.6328125" style="47" bestFit="1" customWidth="1"/>
    <col min="434" max="434" width="10.54296875" style="47" customWidth="1"/>
    <col min="435" max="435" width="14.6328125" style="47" bestFit="1" customWidth="1"/>
    <col min="436" max="436" width="10.54296875" style="47" customWidth="1"/>
    <col min="437" max="437" width="14.6328125" style="47" bestFit="1" customWidth="1"/>
    <col min="438" max="438" width="10.54296875" style="47" customWidth="1"/>
    <col min="439" max="439" width="14.6328125" style="47" bestFit="1" customWidth="1"/>
    <col min="440" max="440" width="10.54296875" style="47" customWidth="1"/>
    <col min="441" max="441" width="14.6328125" style="47" bestFit="1" customWidth="1"/>
    <col min="442" max="442" width="10.54296875" style="47" customWidth="1"/>
    <col min="443" max="443" width="14.6328125" style="47" bestFit="1" customWidth="1"/>
    <col min="444" max="444" width="10.54296875" style="47" customWidth="1"/>
    <col min="445" max="445" width="14.6328125" style="47" bestFit="1" customWidth="1"/>
    <col min="446" max="446" width="10.54296875" style="47" customWidth="1"/>
    <col min="447" max="447" width="14.6328125" style="47" bestFit="1" customWidth="1"/>
    <col min="448" max="448" width="10.54296875" style="47" customWidth="1"/>
    <col min="449" max="449" width="14.6328125" style="47" bestFit="1" customWidth="1"/>
    <col min="450" max="450" width="10.54296875" style="47" customWidth="1"/>
    <col min="451" max="451" width="14.6328125" style="47" bestFit="1" customWidth="1"/>
    <col min="452" max="452" width="10.54296875" style="47" customWidth="1"/>
    <col min="453" max="453" width="14.6328125" style="47" bestFit="1" customWidth="1"/>
    <col min="454" max="454" width="10.54296875" style="47" customWidth="1"/>
    <col min="455" max="455" width="14.6328125" style="47" bestFit="1" customWidth="1"/>
    <col min="456" max="456" width="10.54296875" style="47" customWidth="1"/>
    <col min="457" max="457" width="14.6328125" style="47" bestFit="1" customWidth="1"/>
    <col min="458" max="458" width="10.54296875" style="47" customWidth="1"/>
    <col min="459" max="459" width="14.6328125" style="47" bestFit="1" customWidth="1"/>
    <col min="460" max="460" width="10.54296875" style="47" customWidth="1"/>
    <col min="461" max="461" width="14.6328125" style="47" bestFit="1" customWidth="1"/>
    <col min="462" max="462" width="10.54296875" style="47" customWidth="1"/>
    <col min="463" max="463" width="14.6328125" style="47" bestFit="1" customWidth="1"/>
    <col min="464" max="464" width="10.54296875" style="47" customWidth="1"/>
    <col min="465" max="465" width="14.6328125" style="47" bestFit="1" customWidth="1"/>
    <col min="466" max="466" width="10.54296875" style="47" customWidth="1"/>
    <col min="467" max="467" width="14.6328125" style="47" bestFit="1" customWidth="1"/>
    <col min="468" max="468" width="10.54296875" style="47" customWidth="1"/>
    <col min="469" max="469" width="14.6328125" style="47" bestFit="1" customWidth="1"/>
    <col min="470" max="470" width="10.54296875" style="47" customWidth="1"/>
    <col min="471" max="471" width="14.6328125" style="47" bestFit="1" customWidth="1"/>
    <col min="472" max="472" width="10.54296875" style="47" customWidth="1"/>
    <col min="473" max="473" width="14.6328125" style="47" bestFit="1" customWidth="1"/>
    <col min="474" max="474" width="10.54296875" style="47" customWidth="1"/>
    <col min="475" max="475" width="14.6328125" style="47" bestFit="1" customWidth="1"/>
    <col min="476" max="476" width="10.54296875" style="47" customWidth="1"/>
    <col min="477" max="477" width="14.6328125" style="47" bestFit="1" customWidth="1"/>
    <col min="478" max="478" width="10.54296875" style="47" customWidth="1"/>
    <col min="479" max="479" width="14.6328125" style="47" bestFit="1" customWidth="1"/>
    <col min="480" max="480" width="10.54296875" style="47" customWidth="1"/>
    <col min="481" max="481" width="14.6328125" style="47" bestFit="1" customWidth="1"/>
    <col min="482" max="482" width="10.54296875" style="47" customWidth="1"/>
    <col min="483" max="483" width="14.6328125" style="47" bestFit="1" customWidth="1"/>
    <col min="484" max="484" width="10.54296875" style="47" customWidth="1"/>
    <col min="485" max="485" width="14.6328125" style="47" bestFit="1" customWidth="1"/>
    <col min="486" max="486" width="10.54296875" style="47" customWidth="1"/>
    <col min="487" max="487" width="14.6328125" style="47" bestFit="1" customWidth="1"/>
    <col min="488" max="488" width="10.54296875" style="47" customWidth="1"/>
    <col min="489" max="489" width="14.6328125" style="47" bestFit="1" customWidth="1"/>
    <col min="490" max="490" width="10.54296875" style="47" customWidth="1"/>
    <col min="491" max="491" width="14.6328125" style="47" bestFit="1" customWidth="1"/>
    <col min="492" max="492" width="10.54296875" style="47" customWidth="1"/>
    <col min="493" max="493" width="14.6328125" style="47" bestFit="1" customWidth="1"/>
    <col min="494" max="494" width="10.54296875" style="47" customWidth="1"/>
    <col min="495" max="495" width="14.6328125" style="47" bestFit="1" customWidth="1"/>
    <col min="496" max="496" width="10.54296875" style="47" customWidth="1"/>
    <col min="497" max="497" width="14.6328125" style="47" bestFit="1" customWidth="1"/>
    <col min="498" max="498" width="10.54296875" style="47" customWidth="1"/>
    <col min="499" max="499" width="14.6328125" style="47" bestFit="1" customWidth="1"/>
    <col min="500" max="500" width="10.54296875" style="47" customWidth="1"/>
    <col min="501" max="501" width="14.6328125" style="47" bestFit="1" customWidth="1"/>
    <col min="502" max="502" width="10.54296875" style="47" customWidth="1"/>
    <col min="503" max="503" width="14.6328125" style="47" bestFit="1" customWidth="1"/>
    <col min="504" max="504" width="10.54296875" style="47" customWidth="1"/>
    <col min="505" max="505" width="14.6328125" style="47" bestFit="1" customWidth="1"/>
    <col min="506" max="506" width="10.54296875" style="47" customWidth="1"/>
    <col min="507" max="507" width="14.6328125" style="47" bestFit="1" customWidth="1"/>
    <col min="508" max="508" width="10.54296875" style="47" customWidth="1"/>
    <col min="509" max="509" width="14.6328125" style="47" bestFit="1" customWidth="1"/>
    <col min="510" max="510" width="10.54296875" style="47" customWidth="1"/>
    <col min="511" max="511" width="14.6328125" style="47" bestFit="1" customWidth="1"/>
    <col min="512" max="512" width="10.54296875" style="47" customWidth="1"/>
    <col min="513" max="513" width="14.6328125" style="47" bestFit="1" customWidth="1"/>
    <col min="514" max="514" width="10.54296875" style="47" customWidth="1"/>
    <col min="515" max="515" width="14.6328125" style="47" bestFit="1" customWidth="1"/>
    <col min="516" max="516" width="10.54296875" style="47" customWidth="1"/>
    <col min="517" max="517" width="14.6328125" style="47" bestFit="1" customWidth="1"/>
    <col min="518" max="518" width="10.54296875" style="47" customWidth="1"/>
    <col min="519" max="519" width="14.6328125" style="47" bestFit="1" customWidth="1"/>
    <col min="520" max="520" width="10.54296875" style="47" customWidth="1"/>
    <col min="521" max="521" width="14.6328125" style="47" bestFit="1" customWidth="1"/>
    <col min="522" max="522" width="10.54296875" style="47" customWidth="1"/>
    <col min="523" max="523" width="14.6328125" style="47" bestFit="1" customWidth="1"/>
    <col min="524" max="524" width="10.54296875" style="47" customWidth="1"/>
    <col min="525" max="525" width="14.6328125" style="47" bestFit="1" customWidth="1"/>
    <col min="526" max="526" width="10.54296875" style="47" customWidth="1"/>
    <col min="527" max="527" width="14.6328125" style="47" bestFit="1" customWidth="1"/>
    <col min="528" max="528" width="10.54296875" style="47" customWidth="1"/>
    <col min="529" max="529" width="14.6328125" style="47" bestFit="1" customWidth="1"/>
    <col min="530" max="530" width="10.54296875" style="47" customWidth="1"/>
    <col min="531" max="531" width="14.6328125" style="47" bestFit="1" customWidth="1"/>
    <col min="532" max="532" width="10.54296875" style="47" customWidth="1"/>
    <col min="533" max="533" width="14.6328125" style="47" bestFit="1" customWidth="1"/>
    <col min="534" max="534" width="10.54296875" style="47" customWidth="1"/>
    <col min="535" max="535" width="14.6328125" style="47" bestFit="1" customWidth="1"/>
    <col min="536" max="536" width="10.54296875" style="47" customWidth="1"/>
    <col min="537" max="537" width="14.6328125" style="47" bestFit="1" customWidth="1"/>
    <col min="538" max="538" width="8.54296875" style="47" customWidth="1"/>
    <col min="539" max="16384" width="11.453125" style="47"/>
  </cols>
  <sheetData>
    <row r="1" spans="1:538" x14ac:dyDescent="0.45">
      <c r="B1" s="57"/>
      <c r="C1" s="57"/>
      <c r="D1" s="57"/>
      <c r="E1" s="57"/>
    </row>
    <row r="2" spans="1:538" x14ac:dyDescent="0.45">
      <c r="A2" s="46" t="s">
        <v>58</v>
      </c>
      <c r="B2" s="46" t="s">
        <v>25</v>
      </c>
      <c r="C2"/>
      <c r="F2" s="46" t="s">
        <v>60</v>
      </c>
      <c r="G2" s="60" t="s">
        <v>59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</row>
    <row r="3" spans="1:538" x14ac:dyDescent="0.45">
      <c r="A3" s="46" t="s">
        <v>24</v>
      </c>
      <c r="B3" s="57" t="s">
        <v>70</v>
      </c>
      <c r="C3"/>
      <c r="D3" s="57"/>
      <c r="E3" s="57"/>
      <c r="F3" s="46" t="s">
        <v>29</v>
      </c>
      <c r="G3" s="57" t="s">
        <v>70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</row>
    <row r="4" spans="1:538" x14ac:dyDescent="0.45">
      <c r="A4" s="55" t="s">
        <v>70</v>
      </c>
      <c r="B4" s="57"/>
      <c r="C4"/>
      <c r="D4" s="57"/>
      <c r="E4" s="57"/>
      <c r="F4" s="55" t="s">
        <v>70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</row>
    <row r="5" spans="1:538" x14ac:dyDescent="0.45">
      <c r="A5"/>
      <c r="B5"/>
      <c r="C5"/>
      <c r="D5" s="57"/>
      <c r="E5" s="57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</row>
    <row r="6" spans="1:538" x14ac:dyDescent="0.45">
      <c r="A6"/>
      <c r="B6"/>
      <c r="C6"/>
      <c r="D6" s="57"/>
      <c r="E6" s="57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</row>
    <row r="7" spans="1:538" x14ac:dyDescent="0.45">
      <c r="A7"/>
      <c r="B7"/>
      <c r="C7"/>
      <c r="D7" s="57"/>
      <c r="E7" s="57"/>
      <c r="F7"/>
      <c r="G7"/>
      <c r="H7"/>
      <c r="I7"/>
    </row>
    <row r="8" spans="1:538" ht="24" customHeight="1" x14ac:dyDescent="0.45">
      <c r="A8"/>
      <c r="B8"/>
      <c r="C8"/>
      <c r="D8" s="57"/>
      <c r="E8" s="57"/>
      <c r="F8"/>
      <c r="G8"/>
      <c r="H8"/>
      <c r="I8"/>
    </row>
    <row r="9" spans="1:538" ht="24" customHeight="1" x14ac:dyDescent="0.45">
      <c r="A9"/>
      <c r="B9"/>
      <c r="C9"/>
      <c r="D9" s="57"/>
      <c r="E9" s="57"/>
      <c r="F9"/>
      <c r="G9"/>
      <c r="H9"/>
      <c r="I9"/>
    </row>
    <row r="10" spans="1:538" ht="24" customHeight="1" x14ac:dyDescent="0.45">
      <c r="A10"/>
      <c r="B10"/>
      <c r="C10"/>
      <c r="D10" s="57"/>
      <c r="E10" s="57"/>
      <c r="F10"/>
      <c r="G10"/>
      <c r="H10"/>
      <c r="I10"/>
    </row>
    <row r="11" spans="1:538" ht="24" customHeight="1" x14ac:dyDescent="0.45">
      <c r="A11"/>
      <c r="B11"/>
      <c r="C11"/>
      <c r="D11" s="57"/>
      <c r="E11" s="57"/>
      <c r="F11"/>
      <c r="G11"/>
      <c r="H11"/>
      <c r="I11"/>
    </row>
    <row r="12" spans="1:538" ht="24" customHeight="1" x14ac:dyDescent="0.45">
      <c r="A12"/>
      <c r="B12"/>
      <c r="C12"/>
      <c r="D12" s="57"/>
      <c r="E12" s="57"/>
      <c r="F12"/>
      <c r="G12"/>
      <c r="H12"/>
      <c r="I12"/>
    </row>
    <row r="13" spans="1:538" ht="24" customHeight="1" x14ac:dyDescent="0.45">
      <c r="A13"/>
      <c r="B13"/>
      <c r="C13"/>
      <c r="D13" s="57"/>
      <c r="E13" s="57"/>
      <c r="F13"/>
      <c r="G13"/>
      <c r="H13"/>
      <c r="I13"/>
    </row>
    <row r="14" spans="1:538" x14ac:dyDescent="0.45">
      <c r="A14"/>
      <c r="B14"/>
      <c r="C14"/>
      <c r="D14" s="57"/>
      <c r="E14" s="57"/>
      <c r="F14"/>
      <c r="G14"/>
      <c r="H14"/>
      <c r="I14"/>
    </row>
    <row r="15" spans="1:538" x14ac:dyDescent="0.45">
      <c r="A15"/>
      <c r="B15"/>
      <c r="C15"/>
      <c r="D15" s="57"/>
      <c r="E15" s="57"/>
      <c r="F15"/>
      <c r="G15"/>
      <c r="H15"/>
      <c r="I15"/>
    </row>
    <row r="16" spans="1:538" ht="24" customHeight="1" x14ac:dyDescent="0.45">
      <c r="A16"/>
      <c r="B16"/>
      <c r="C16"/>
      <c r="D16" s="57"/>
      <c r="E16" s="57"/>
      <c r="F16"/>
      <c r="G16"/>
      <c r="H16"/>
      <c r="I16"/>
    </row>
    <row r="17" spans="1:24" x14ac:dyDescent="0.45">
      <c r="A17"/>
      <c r="B17"/>
      <c r="C17"/>
      <c r="D17" s="57"/>
      <c r="E17" s="57"/>
      <c r="F17"/>
      <c r="G17"/>
      <c r="H17"/>
    </row>
    <row r="18" spans="1:24" x14ac:dyDescent="0.45">
      <c r="A18"/>
      <c r="B18"/>
      <c r="C18"/>
      <c r="D18" s="57"/>
      <c r="E18" s="57"/>
      <c r="F18"/>
      <c r="G18"/>
      <c r="H18" s="54"/>
    </row>
    <row r="19" spans="1:24" x14ac:dyDescent="0.45">
      <c r="A19"/>
      <c r="B19"/>
      <c r="C19"/>
      <c r="D19" s="57"/>
      <c r="E19" s="57"/>
      <c r="F19"/>
      <c r="G19"/>
      <c r="H19" s="54"/>
    </row>
    <row r="20" spans="1:24" x14ac:dyDescent="0.45">
      <c r="A20"/>
      <c r="B20"/>
      <c r="C20"/>
      <c r="D20" s="57"/>
      <c r="E20" s="57"/>
      <c r="F20"/>
      <c r="G20"/>
      <c r="R20" s="48"/>
      <c r="S20" s="49"/>
      <c r="T20" s="49"/>
      <c r="U20" s="49"/>
      <c r="V20" s="49"/>
      <c r="W20" s="49"/>
      <c r="X20" s="49"/>
    </row>
    <row r="21" spans="1:24" x14ac:dyDescent="0.45">
      <c r="A21"/>
      <c r="B21"/>
      <c r="C21"/>
      <c r="D21" s="57"/>
      <c r="E21" s="57"/>
      <c r="F21"/>
      <c r="G21"/>
      <c r="R21" s="48"/>
      <c r="S21" s="49"/>
      <c r="T21" s="49"/>
      <c r="U21" s="49"/>
      <c r="V21" s="49"/>
      <c r="W21" s="49"/>
      <c r="X21" s="49"/>
    </row>
    <row r="22" spans="1:24" ht="24" customHeight="1" x14ac:dyDescent="0.45">
      <c r="A22"/>
      <c r="B22"/>
      <c r="C22"/>
      <c r="D22" s="57"/>
      <c r="E22" s="57"/>
      <c r="F22"/>
      <c r="G22"/>
      <c r="R22" s="48"/>
      <c r="S22" s="49"/>
      <c r="T22" s="49"/>
      <c r="U22" s="49"/>
      <c r="V22" s="49"/>
      <c r="W22" s="49"/>
      <c r="X22" s="49"/>
    </row>
    <row r="23" spans="1:24" ht="24" customHeight="1" x14ac:dyDescent="0.45">
      <c r="A23"/>
      <c r="B23"/>
      <c r="C23"/>
      <c r="D23" s="57"/>
      <c r="E23" s="57"/>
      <c r="F23"/>
      <c r="G23"/>
      <c r="R23" s="48"/>
      <c r="S23" s="49"/>
      <c r="T23" s="49"/>
      <c r="U23" s="49"/>
      <c r="V23" s="49"/>
      <c r="W23" s="49"/>
      <c r="X23" s="49"/>
    </row>
    <row r="24" spans="1:24" ht="24" customHeight="1" x14ac:dyDescent="0.45">
      <c r="A24"/>
      <c r="B24"/>
      <c r="C24"/>
      <c r="D24" s="57"/>
      <c r="E24" s="57"/>
      <c r="F24"/>
      <c r="G24"/>
    </row>
    <row r="25" spans="1:24" ht="24" customHeight="1" x14ac:dyDescent="0.45">
      <c r="A25"/>
      <c r="B25"/>
      <c r="C25"/>
      <c r="D25" s="57"/>
      <c r="E25" s="57"/>
      <c r="F25"/>
      <c r="G25"/>
      <c r="R25"/>
      <c r="S25"/>
    </row>
    <row r="26" spans="1:24" ht="24" customHeight="1" x14ac:dyDescent="0.45">
      <c r="A26"/>
      <c r="B26"/>
      <c r="C26"/>
      <c r="D26" s="57"/>
      <c r="E26" s="57"/>
      <c r="F26"/>
      <c r="G26"/>
      <c r="R26"/>
      <c r="S26"/>
    </row>
    <row r="27" spans="1:24" ht="24" customHeight="1" x14ac:dyDescent="0.45">
      <c r="A27"/>
      <c r="B27"/>
      <c r="C27"/>
      <c r="D27" s="57"/>
      <c r="E27" s="57"/>
      <c r="F27"/>
      <c r="G27"/>
    </row>
    <row r="28" spans="1:24" ht="24" customHeight="1" x14ac:dyDescent="0.45">
      <c r="A28"/>
      <c r="B28"/>
      <c r="C28"/>
      <c r="D28" s="57"/>
      <c r="E28" s="57"/>
      <c r="F28"/>
      <c r="G28"/>
      <c r="U28"/>
      <c r="V28"/>
      <c r="W28"/>
      <c r="X28"/>
    </row>
    <row r="29" spans="1:24" ht="24" customHeight="1" x14ac:dyDescent="0.45">
      <c r="A29"/>
      <c r="B29"/>
      <c r="C29"/>
      <c r="D29" s="57"/>
      <c r="E29" s="57"/>
      <c r="F29"/>
      <c r="G29"/>
      <c r="U29"/>
      <c r="V29"/>
      <c r="W29"/>
      <c r="X29"/>
    </row>
    <row r="30" spans="1:24" ht="24" customHeight="1" x14ac:dyDescent="0.45">
      <c r="A30"/>
      <c r="B30"/>
      <c r="C30"/>
      <c r="D30" s="57"/>
      <c r="E30" s="57"/>
      <c r="F30"/>
      <c r="G30"/>
      <c r="U30"/>
      <c r="V30"/>
      <c r="W30"/>
      <c r="X30"/>
    </row>
    <row r="31" spans="1:24" ht="24" customHeight="1" x14ac:dyDescent="0.45">
      <c r="A31"/>
      <c r="B31"/>
      <c r="C31"/>
      <c r="D31" s="57"/>
      <c r="E31" s="57"/>
      <c r="F31"/>
      <c r="G31"/>
      <c r="H31" s="57"/>
      <c r="U31"/>
      <c r="V31"/>
      <c r="W31"/>
      <c r="X31"/>
    </row>
    <row r="32" spans="1:24" ht="24" customHeight="1" x14ac:dyDescent="0.45">
      <c r="A32"/>
      <c r="B32"/>
      <c r="C32"/>
      <c r="D32" s="57"/>
      <c r="E32" s="57"/>
      <c r="F32"/>
      <c r="G32"/>
      <c r="H32" s="57"/>
      <c r="U32"/>
      <c r="V32"/>
      <c r="W32"/>
      <c r="X32"/>
    </row>
    <row r="33" spans="1:7" ht="23.25" customHeight="1" x14ac:dyDescent="0.45">
      <c r="A33"/>
      <c r="B33"/>
      <c r="C33"/>
      <c r="D33" s="57"/>
      <c r="E33" s="57"/>
      <c r="F33"/>
      <c r="G33"/>
    </row>
    <row r="34" spans="1:7" ht="23.25" customHeight="1" x14ac:dyDescent="0.45">
      <c r="A34"/>
      <c r="B34"/>
      <c r="C34"/>
      <c r="D34" s="57"/>
      <c r="E34" s="57"/>
      <c r="F34"/>
      <c r="G34"/>
    </row>
    <row r="35" spans="1:7" ht="23.25" customHeight="1" x14ac:dyDescent="0.45">
      <c r="A35"/>
      <c r="B35"/>
      <c r="C35"/>
      <c r="D35" s="57"/>
      <c r="E35" s="57"/>
      <c r="F35"/>
      <c r="G35"/>
    </row>
    <row r="36" spans="1:7" ht="23.25" customHeight="1" x14ac:dyDescent="0.45">
      <c r="A36"/>
      <c r="B36"/>
      <c r="C36"/>
      <c r="D36" s="57"/>
      <c r="E36" s="57"/>
      <c r="F36"/>
      <c r="G36"/>
    </row>
    <row r="37" spans="1:7" ht="23.25" customHeight="1" x14ac:dyDescent="0.45">
      <c r="A37"/>
      <c r="B37"/>
      <c r="C37"/>
      <c r="D37" s="57"/>
      <c r="E37" s="57"/>
      <c r="F37"/>
      <c r="G37"/>
    </row>
    <row r="38" spans="1:7" ht="23.25" customHeight="1" x14ac:dyDescent="0.45">
      <c r="A38"/>
      <c r="B38"/>
      <c r="C38"/>
      <c r="D38" s="57"/>
      <c r="E38" s="57"/>
      <c r="F38"/>
      <c r="G38"/>
    </row>
    <row r="39" spans="1:7" ht="23.25" customHeight="1" x14ac:dyDescent="0.45">
      <c r="A39"/>
      <c r="B39"/>
      <c r="C39"/>
      <c r="D39" s="57"/>
      <c r="E39" s="57"/>
      <c r="F39"/>
      <c r="G39"/>
    </row>
    <row r="40" spans="1:7" ht="23.25" customHeight="1" x14ac:dyDescent="0.45">
      <c r="A40"/>
      <c r="B40"/>
      <c r="C40"/>
      <c r="D40" s="57"/>
      <c r="E40" s="57"/>
      <c r="F40"/>
      <c r="G40"/>
    </row>
    <row r="41" spans="1:7" ht="23.25" customHeight="1" x14ac:dyDescent="0.45">
      <c r="A41"/>
      <c r="B41"/>
      <c r="C41"/>
      <c r="D41"/>
      <c r="E41"/>
    </row>
    <row r="42" spans="1:7" ht="23.25" customHeight="1" x14ac:dyDescent="0.45">
      <c r="A42"/>
      <c r="B42"/>
      <c r="C42"/>
      <c r="D42"/>
      <c r="E42"/>
    </row>
    <row r="43" spans="1:7" ht="23.25" customHeight="1" x14ac:dyDescent="0.45">
      <c r="A43"/>
      <c r="B43"/>
      <c r="C43"/>
      <c r="D43"/>
      <c r="E43"/>
    </row>
    <row r="44" spans="1:7" ht="23.25" customHeight="1" x14ac:dyDescent="0.45">
      <c r="A44"/>
      <c r="B44"/>
      <c r="C44"/>
      <c r="D44"/>
      <c r="E44"/>
    </row>
    <row r="45" spans="1:7" ht="23.25" customHeight="1" x14ac:dyDescent="0.45">
      <c r="A45"/>
      <c r="B45"/>
      <c r="C45"/>
      <c r="D45"/>
      <c r="E45"/>
    </row>
    <row r="46" spans="1:7" ht="23.25" customHeight="1" x14ac:dyDescent="0.45">
      <c r="A46"/>
      <c r="B46"/>
      <c r="C46"/>
      <c r="D46"/>
      <c r="E46"/>
    </row>
    <row r="47" spans="1:7" ht="23.25" customHeight="1" x14ac:dyDescent="0.45">
      <c r="A47"/>
      <c r="B47"/>
      <c r="C47"/>
      <c r="D47"/>
      <c r="E47"/>
    </row>
    <row r="48" spans="1:7" x14ac:dyDescent="0.45">
      <c r="A48"/>
      <c r="B48"/>
      <c r="C48"/>
      <c r="D48"/>
      <c r="E48"/>
    </row>
    <row r="49" spans="1:5" x14ac:dyDescent="0.45">
      <c r="A49"/>
      <c r="B49"/>
      <c r="C49"/>
      <c r="D49"/>
      <c r="E49"/>
    </row>
    <row r="50" spans="1:5" x14ac:dyDescent="0.45">
      <c r="A50"/>
      <c r="B50"/>
      <c r="C50"/>
      <c r="D50"/>
      <c r="E50"/>
    </row>
    <row r="51" spans="1:5" x14ac:dyDescent="0.45">
      <c r="A51"/>
      <c r="B51"/>
      <c r="C51"/>
      <c r="D51"/>
      <c r="E51"/>
    </row>
    <row r="52" spans="1:5" x14ac:dyDescent="0.45">
      <c r="A52"/>
      <c r="B52"/>
      <c r="C52"/>
      <c r="D52"/>
      <c r="E52"/>
    </row>
    <row r="53" spans="1:5" x14ac:dyDescent="0.45">
      <c r="A53"/>
      <c r="B53"/>
      <c r="C53"/>
      <c r="D53"/>
      <c r="E53"/>
    </row>
    <row r="54" spans="1:5" x14ac:dyDescent="0.45">
      <c r="A54"/>
      <c r="B54"/>
      <c r="C54"/>
      <c r="D54"/>
      <c r="E54"/>
    </row>
    <row r="55" spans="1:5" x14ac:dyDescent="0.45">
      <c r="A55"/>
      <c r="B55"/>
      <c r="C55"/>
      <c r="D55"/>
      <c r="E55"/>
    </row>
    <row r="56" spans="1:5" x14ac:dyDescent="0.45">
      <c r="A56"/>
      <c r="B56"/>
      <c r="C56"/>
      <c r="D56"/>
      <c r="E56"/>
    </row>
    <row r="57" spans="1:5" x14ac:dyDescent="0.45">
      <c r="A57"/>
      <c r="B57"/>
      <c r="C57"/>
      <c r="D57"/>
      <c r="E57"/>
    </row>
    <row r="58" spans="1:5" x14ac:dyDescent="0.45">
      <c r="A58"/>
      <c r="B58"/>
      <c r="C58"/>
      <c r="D58"/>
      <c r="E58"/>
    </row>
    <row r="59" spans="1:5" x14ac:dyDescent="0.45">
      <c r="A59"/>
      <c r="B59"/>
      <c r="C59"/>
      <c r="D59"/>
      <c r="E59"/>
    </row>
    <row r="60" spans="1:5" x14ac:dyDescent="0.45">
      <c r="A60"/>
      <c r="B60"/>
      <c r="C60"/>
      <c r="D60"/>
      <c r="E60"/>
    </row>
    <row r="61" spans="1:5" x14ac:dyDescent="0.45">
      <c r="A61"/>
      <c r="B61"/>
      <c r="C61"/>
      <c r="D61"/>
      <c r="E61"/>
    </row>
    <row r="62" spans="1:5" x14ac:dyDescent="0.45">
      <c r="A62"/>
      <c r="B62"/>
      <c r="C62"/>
      <c r="D62"/>
      <c r="E62"/>
    </row>
    <row r="63" spans="1:5" x14ac:dyDescent="0.45">
      <c r="A63"/>
      <c r="B63"/>
      <c r="C63"/>
      <c r="D63"/>
      <c r="E63"/>
    </row>
    <row r="64" spans="1:5" x14ac:dyDescent="0.45">
      <c r="A64"/>
      <c r="B64"/>
      <c r="C64"/>
      <c r="D64"/>
      <c r="E64"/>
    </row>
    <row r="65" spans="1:5" x14ac:dyDescent="0.45">
      <c r="A65"/>
      <c r="B65"/>
      <c r="C65"/>
      <c r="D65"/>
      <c r="E65"/>
    </row>
    <row r="66" spans="1:5" x14ac:dyDescent="0.45">
      <c r="A66"/>
      <c r="B66"/>
      <c r="C66"/>
      <c r="D66"/>
      <c r="E66"/>
    </row>
    <row r="67" spans="1:5" x14ac:dyDescent="0.45">
      <c r="A67"/>
      <c r="B67"/>
      <c r="C67"/>
      <c r="D67"/>
      <c r="E67"/>
    </row>
    <row r="68" spans="1:5" x14ac:dyDescent="0.45">
      <c r="A68"/>
      <c r="B68"/>
      <c r="C68"/>
      <c r="D68"/>
      <c r="E68"/>
    </row>
    <row r="69" spans="1:5" x14ac:dyDescent="0.45">
      <c r="A69"/>
      <c r="B69"/>
      <c r="C69"/>
      <c r="D69"/>
      <c r="E69"/>
    </row>
    <row r="70" spans="1:5" x14ac:dyDescent="0.45">
      <c r="A70"/>
      <c r="B70"/>
      <c r="C70"/>
      <c r="D70"/>
      <c r="E70"/>
    </row>
    <row r="71" spans="1:5" x14ac:dyDescent="0.45">
      <c r="A71"/>
      <c r="B71"/>
      <c r="C71"/>
      <c r="D71"/>
      <c r="E71"/>
    </row>
    <row r="72" spans="1:5" x14ac:dyDescent="0.45">
      <c r="A72"/>
      <c r="B72"/>
      <c r="C72"/>
      <c r="D72"/>
      <c r="E72"/>
    </row>
    <row r="73" spans="1:5" x14ac:dyDescent="0.45">
      <c r="A73"/>
      <c r="B73"/>
      <c r="C73"/>
      <c r="D73"/>
      <c r="E73"/>
    </row>
    <row r="74" spans="1:5" x14ac:dyDescent="0.45">
      <c r="A74"/>
      <c r="B74"/>
      <c r="C74"/>
      <c r="D74"/>
      <c r="E74"/>
    </row>
    <row r="75" spans="1:5" x14ac:dyDescent="0.45">
      <c r="A75"/>
      <c r="B75"/>
      <c r="C75"/>
      <c r="D75"/>
      <c r="E75"/>
    </row>
    <row r="76" spans="1:5" x14ac:dyDescent="0.45">
      <c r="A76"/>
      <c r="B76"/>
      <c r="C76"/>
      <c r="D76"/>
      <c r="E76"/>
    </row>
    <row r="77" spans="1:5" x14ac:dyDescent="0.45">
      <c r="A77"/>
      <c r="B77"/>
      <c r="C77"/>
      <c r="D77"/>
      <c r="E77"/>
    </row>
    <row r="78" spans="1:5" x14ac:dyDescent="0.45">
      <c r="A78"/>
      <c r="B78"/>
      <c r="C78"/>
      <c r="D78"/>
      <c r="E78"/>
    </row>
    <row r="79" spans="1:5" x14ac:dyDescent="0.45">
      <c r="A79"/>
      <c r="B79"/>
      <c r="C79"/>
      <c r="D79"/>
      <c r="E79"/>
    </row>
    <row r="80" spans="1:5" x14ac:dyDescent="0.45">
      <c r="A80"/>
      <c r="B80"/>
      <c r="C80"/>
      <c r="D80"/>
      <c r="E80"/>
    </row>
    <row r="81" spans="1:5" x14ac:dyDescent="0.45">
      <c r="A81"/>
      <c r="B81"/>
      <c r="C81"/>
      <c r="D81"/>
      <c r="E81"/>
    </row>
    <row r="82" spans="1:5" x14ac:dyDescent="0.45">
      <c r="A82"/>
      <c r="B82"/>
      <c r="C82"/>
      <c r="D82"/>
      <c r="E82"/>
    </row>
    <row r="83" spans="1:5" x14ac:dyDescent="0.45">
      <c r="A83"/>
      <c r="B83"/>
      <c r="C83"/>
      <c r="D83"/>
      <c r="E83"/>
    </row>
    <row r="84" spans="1:5" x14ac:dyDescent="0.45">
      <c r="A84"/>
      <c r="B84"/>
      <c r="C84"/>
      <c r="D84"/>
      <c r="E84"/>
    </row>
    <row r="85" spans="1:5" x14ac:dyDescent="0.45">
      <c r="A85"/>
      <c r="B85"/>
      <c r="C85"/>
      <c r="D85"/>
      <c r="E85"/>
    </row>
    <row r="86" spans="1:5" x14ac:dyDescent="0.45">
      <c r="A86"/>
      <c r="B86"/>
      <c r="C86"/>
      <c r="D86"/>
      <c r="E86"/>
    </row>
    <row r="87" spans="1:5" x14ac:dyDescent="0.45">
      <c r="A87"/>
      <c r="B87"/>
      <c r="C87"/>
      <c r="D87"/>
      <c r="E87"/>
    </row>
    <row r="88" spans="1:5" x14ac:dyDescent="0.45">
      <c r="A88"/>
      <c r="B88"/>
      <c r="C88"/>
      <c r="D88"/>
      <c r="E88"/>
    </row>
    <row r="89" spans="1:5" x14ac:dyDescent="0.45">
      <c r="A89"/>
      <c r="B89"/>
      <c r="C89"/>
      <c r="D89"/>
      <c r="E89"/>
    </row>
    <row r="90" spans="1:5" x14ac:dyDescent="0.45">
      <c r="A90"/>
      <c r="B90"/>
      <c r="C90"/>
      <c r="D90"/>
      <c r="E90"/>
    </row>
    <row r="91" spans="1:5" x14ac:dyDescent="0.45">
      <c r="A91"/>
      <c r="B91"/>
      <c r="C91"/>
      <c r="D91"/>
      <c r="E91"/>
    </row>
    <row r="92" spans="1:5" x14ac:dyDescent="0.45">
      <c r="A92"/>
      <c r="B92"/>
      <c r="C92"/>
      <c r="D92"/>
      <c r="E92"/>
    </row>
    <row r="93" spans="1:5" x14ac:dyDescent="0.45">
      <c r="A93"/>
      <c r="B93"/>
      <c r="C93"/>
      <c r="D93"/>
      <c r="E93"/>
    </row>
    <row r="94" spans="1:5" x14ac:dyDescent="0.45">
      <c r="A94"/>
      <c r="B94"/>
      <c r="C94"/>
      <c r="D94"/>
      <c r="E94"/>
    </row>
    <row r="95" spans="1:5" x14ac:dyDescent="0.45">
      <c r="A95"/>
      <c r="B95"/>
      <c r="C95"/>
      <c r="D95"/>
      <c r="E95"/>
    </row>
    <row r="96" spans="1:5" x14ac:dyDescent="0.45">
      <c r="A96"/>
      <c r="B96"/>
      <c r="C96"/>
      <c r="D96"/>
      <c r="E96"/>
    </row>
    <row r="97" spans="1:5" x14ac:dyDescent="0.45">
      <c r="A97"/>
      <c r="B97"/>
      <c r="C97"/>
      <c r="D97"/>
      <c r="E97"/>
    </row>
    <row r="98" spans="1:5" x14ac:dyDescent="0.45">
      <c r="A98"/>
      <c r="B98"/>
      <c r="C98"/>
      <c r="D98"/>
      <c r="E98"/>
    </row>
    <row r="99" spans="1:5" x14ac:dyDescent="0.45">
      <c r="A99"/>
      <c r="B99"/>
      <c r="C99"/>
      <c r="D99"/>
      <c r="E99"/>
    </row>
    <row r="100" spans="1:5" x14ac:dyDescent="0.45">
      <c r="A100"/>
      <c r="B100"/>
      <c r="C100"/>
      <c r="D100"/>
      <c r="E100"/>
    </row>
    <row r="101" spans="1:5" x14ac:dyDescent="0.45">
      <c r="A101"/>
      <c r="B101"/>
      <c r="C101"/>
      <c r="D101"/>
      <c r="E101"/>
    </row>
    <row r="102" spans="1:5" x14ac:dyDescent="0.45">
      <c r="A102"/>
      <c r="B102"/>
      <c r="C102"/>
      <c r="D102"/>
      <c r="E102"/>
    </row>
    <row r="103" spans="1:5" x14ac:dyDescent="0.45">
      <c r="A103"/>
      <c r="B103"/>
      <c r="C103"/>
      <c r="D103"/>
      <c r="E103"/>
    </row>
    <row r="104" spans="1:5" x14ac:dyDescent="0.45">
      <c r="A104"/>
      <c r="B104"/>
      <c r="C104"/>
      <c r="D104"/>
      <c r="E104"/>
    </row>
    <row r="105" spans="1:5" x14ac:dyDescent="0.45">
      <c r="A105"/>
      <c r="B105"/>
      <c r="C105"/>
      <c r="D105"/>
      <c r="E105"/>
    </row>
    <row r="106" spans="1:5" x14ac:dyDescent="0.45">
      <c r="A106"/>
      <c r="B106"/>
      <c r="C106"/>
      <c r="D106"/>
      <c r="E106"/>
    </row>
    <row r="107" spans="1:5" x14ac:dyDescent="0.45">
      <c r="A107"/>
      <c r="B107"/>
      <c r="C107"/>
      <c r="D107"/>
      <c r="E107"/>
    </row>
    <row r="108" spans="1:5" x14ac:dyDescent="0.45">
      <c r="A108"/>
      <c r="B108"/>
      <c r="C108"/>
      <c r="D108"/>
      <c r="E108"/>
    </row>
    <row r="109" spans="1:5" x14ac:dyDescent="0.45">
      <c r="A109"/>
      <c r="B109"/>
      <c r="C109"/>
      <c r="D109"/>
      <c r="E109"/>
    </row>
    <row r="110" spans="1:5" x14ac:dyDescent="0.45">
      <c r="A110"/>
      <c r="B110"/>
      <c r="C110"/>
      <c r="D110"/>
      <c r="E110"/>
    </row>
    <row r="111" spans="1:5" x14ac:dyDescent="0.45">
      <c r="A111"/>
      <c r="B111"/>
      <c r="C111"/>
      <c r="D111"/>
      <c r="E111"/>
    </row>
    <row r="112" spans="1:5" x14ac:dyDescent="0.45">
      <c r="A112"/>
      <c r="B112"/>
      <c r="C112"/>
      <c r="D112"/>
      <c r="E112"/>
    </row>
    <row r="113" spans="1:5" x14ac:dyDescent="0.45">
      <c r="A113"/>
      <c r="B113"/>
      <c r="C113"/>
      <c r="D113"/>
      <c r="E113"/>
    </row>
    <row r="114" spans="1:5" x14ac:dyDescent="0.45">
      <c r="A114"/>
      <c r="B114"/>
      <c r="C114"/>
      <c r="D114"/>
      <c r="E114"/>
    </row>
    <row r="115" spans="1:5" x14ac:dyDescent="0.45">
      <c r="A115"/>
      <c r="B115"/>
      <c r="C115"/>
      <c r="D115"/>
      <c r="E115"/>
    </row>
    <row r="116" spans="1:5" x14ac:dyDescent="0.45">
      <c r="A116"/>
      <c r="B116"/>
      <c r="C116"/>
      <c r="D116"/>
      <c r="E116"/>
    </row>
    <row r="117" spans="1:5" x14ac:dyDescent="0.45">
      <c r="A117"/>
      <c r="B117"/>
      <c r="C117"/>
      <c r="D117"/>
      <c r="E117"/>
    </row>
    <row r="118" spans="1:5" x14ac:dyDescent="0.45">
      <c r="A118"/>
      <c r="B118"/>
      <c r="C118"/>
      <c r="D118"/>
      <c r="E118"/>
    </row>
    <row r="119" spans="1:5" x14ac:dyDescent="0.45">
      <c r="A119"/>
      <c r="B119"/>
      <c r="C119"/>
      <c r="D119"/>
      <c r="E119"/>
    </row>
    <row r="120" spans="1:5" x14ac:dyDescent="0.45">
      <c r="A120"/>
      <c r="B120"/>
      <c r="C120"/>
      <c r="D120"/>
      <c r="E120"/>
    </row>
    <row r="121" spans="1:5" x14ac:dyDescent="0.45">
      <c r="A121"/>
      <c r="B121"/>
      <c r="C121"/>
      <c r="D121"/>
      <c r="E121"/>
    </row>
    <row r="122" spans="1:5" x14ac:dyDescent="0.45">
      <c r="A122"/>
      <c r="B122"/>
      <c r="C122"/>
      <c r="D122"/>
      <c r="E122"/>
    </row>
    <row r="123" spans="1:5" x14ac:dyDescent="0.45">
      <c r="A123"/>
      <c r="B123"/>
      <c r="C123"/>
      <c r="D123"/>
      <c r="E123"/>
    </row>
    <row r="124" spans="1:5" x14ac:dyDescent="0.45">
      <c r="A124"/>
      <c r="B124"/>
      <c r="C124"/>
      <c r="D124"/>
      <c r="E124"/>
    </row>
    <row r="125" spans="1:5" x14ac:dyDescent="0.45">
      <c r="A125"/>
      <c r="B125"/>
      <c r="C125"/>
      <c r="D125"/>
      <c r="E125"/>
    </row>
    <row r="126" spans="1:5" x14ac:dyDescent="0.45">
      <c r="A126"/>
      <c r="B126"/>
      <c r="C126"/>
      <c r="D126"/>
      <c r="E126"/>
    </row>
    <row r="127" spans="1:5" x14ac:dyDescent="0.45">
      <c r="A127"/>
      <c r="B127"/>
      <c r="C127"/>
      <c r="D127"/>
      <c r="E127"/>
    </row>
    <row r="128" spans="1:5" x14ac:dyDescent="0.45">
      <c r="A128"/>
      <c r="B128"/>
      <c r="C128"/>
      <c r="D128"/>
      <c r="E128"/>
    </row>
    <row r="129" spans="1:5" x14ac:dyDescent="0.45">
      <c r="A129"/>
      <c r="B129"/>
      <c r="C129"/>
      <c r="D129"/>
      <c r="E129"/>
    </row>
    <row r="130" spans="1:5" x14ac:dyDescent="0.45">
      <c r="A130"/>
      <c r="B130"/>
      <c r="C130"/>
      <c r="D130"/>
      <c r="E130"/>
    </row>
    <row r="131" spans="1:5" x14ac:dyDescent="0.45">
      <c r="A131"/>
      <c r="B131"/>
      <c r="C131"/>
      <c r="D131"/>
      <c r="E131"/>
    </row>
    <row r="132" spans="1:5" x14ac:dyDescent="0.45">
      <c r="A132"/>
      <c r="B132"/>
      <c r="C132"/>
      <c r="D132"/>
      <c r="E132"/>
    </row>
    <row r="133" spans="1:5" x14ac:dyDescent="0.45">
      <c r="A133"/>
      <c r="B133"/>
      <c r="C133"/>
      <c r="D133"/>
      <c r="E133"/>
    </row>
    <row r="134" spans="1:5" x14ac:dyDescent="0.45">
      <c r="A134"/>
      <c r="B134"/>
      <c r="C134"/>
      <c r="D134"/>
      <c r="E134"/>
    </row>
    <row r="135" spans="1:5" x14ac:dyDescent="0.45">
      <c r="A135"/>
      <c r="B135"/>
      <c r="C135"/>
      <c r="D135"/>
      <c r="E135"/>
    </row>
    <row r="136" spans="1:5" x14ac:dyDescent="0.45">
      <c r="A136"/>
      <c r="B136"/>
      <c r="C136"/>
      <c r="D136"/>
      <c r="E136"/>
    </row>
    <row r="137" spans="1:5" x14ac:dyDescent="0.45">
      <c r="A137"/>
      <c r="B137"/>
      <c r="C137"/>
      <c r="D137"/>
      <c r="E137"/>
    </row>
    <row r="138" spans="1:5" x14ac:dyDescent="0.45">
      <c r="A138"/>
      <c r="B138"/>
      <c r="C138"/>
      <c r="D138"/>
      <c r="E138"/>
    </row>
    <row r="139" spans="1:5" x14ac:dyDescent="0.45">
      <c r="A139"/>
      <c r="B139"/>
      <c r="C139"/>
      <c r="D139"/>
      <c r="E139"/>
    </row>
    <row r="140" spans="1:5" x14ac:dyDescent="0.45">
      <c r="A140"/>
      <c r="B140"/>
      <c r="C140"/>
      <c r="D140"/>
      <c r="E140"/>
    </row>
    <row r="141" spans="1:5" x14ac:dyDescent="0.45">
      <c r="A141"/>
      <c r="B141"/>
      <c r="C141"/>
      <c r="D141"/>
      <c r="E141"/>
    </row>
    <row r="142" spans="1:5" x14ac:dyDescent="0.45">
      <c r="A142"/>
      <c r="B142"/>
      <c r="C142"/>
      <c r="D142"/>
      <c r="E142"/>
    </row>
    <row r="143" spans="1:5" x14ac:dyDescent="0.45">
      <c r="A143"/>
      <c r="B143"/>
      <c r="C143"/>
      <c r="D143"/>
      <c r="E143"/>
    </row>
    <row r="144" spans="1:5" x14ac:dyDescent="0.45">
      <c r="A144"/>
      <c r="B144"/>
      <c r="C144"/>
      <c r="D144"/>
      <c r="E144"/>
    </row>
    <row r="145" spans="1:5" x14ac:dyDescent="0.45">
      <c r="A145"/>
      <c r="B145"/>
      <c r="C145"/>
      <c r="D145"/>
      <c r="E145"/>
    </row>
    <row r="146" spans="1:5" x14ac:dyDescent="0.45">
      <c r="A146"/>
      <c r="B146"/>
      <c r="C146"/>
      <c r="D146"/>
      <c r="E146"/>
    </row>
    <row r="147" spans="1:5" x14ac:dyDescent="0.45">
      <c r="A147"/>
      <c r="B147"/>
      <c r="C147"/>
      <c r="D147"/>
      <c r="E147"/>
    </row>
    <row r="148" spans="1:5" x14ac:dyDescent="0.45">
      <c r="A148"/>
      <c r="B148"/>
      <c r="C148"/>
      <c r="D148"/>
      <c r="E148"/>
    </row>
    <row r="149" spans="1:5" x14ac:dyDescent="0.45">
      <c r="A149"/>
      <c r="B149"/>
      <c r="C149"/>
      <c r="D149"/>
      <c r="E149"/>
    </row>
    <row r="150" spans="1:5" x14ac:dyDescent="0.45">
      <c r="A150"/>
      <c r="B150"/>
      <c r="C150"/>
      <c r="D150"/>
      <c r="E150"/>
    </row>
    <row r="151" spans="1:5" x14ac:dyDescent="0.45">
      <c r="A151"/>
      <c r="B151"/>
      <c r="C151"/>
      <c r="D151"/>
      <c r="E151"/>
    </row>
    <row r="152" spans="1:5" x14ac:dyDescent="0.45">
      <c r="A152"/>
      <c r="B152"/>
      <c r="C152"/>
      <c r="D152"/>
      <c r="E152"/>
    </row>
    <row r="153" spans="1:5" x14ac:dyDescent="0.45">
      <c r="A153"/>
      <c r="B153"/>
      <c r="C153"/>
      <c r="D153"/>
      <c r="E153"/>
    </row>
    <row r="154" spans="1:5" x14ac:dyDescent="0.45">
      <c r="A154"/>
      <c r="B154"/>
      <c r="C154"/>
      <c r="D154"/>
      <c r="E154"/>
    </row>
    <row r="155" spans="1:5" x14ac:dyDescent="0.45">
      <c r="A155"/>
      <c r="B155"/>
      <c r="C155"/>
      <c r="D155"/>
      <c r="E155"/>
    </row>
    <row r="156" spans="1:5" x14ac:dyDescent="0.45">
      <c r="A156"/>
      <c r="B156"/>
      <c r="C156"/>
      <c r="D156"/>
      <c r="E156"/>
    </row>
    <row r="157" spans="1:5" x14ac:dyDescent="0.45">
      <c r="A157"/>
      <c r="B157"/>
      <c r="C157"/>
      <c r="D157"/>
      <c r="E157"/>
    </row>
    <row r="158" spans="1:5" x14ac:dyDescent="0.45">
      <c r="A158"/>
      <c r="B158"/>
      <c r="C158"/>
      <c r="D158"/>
      <c r="E158"/>
    </row>
    <row r="159" spans="1:5" x14ac:dyDescent="0.45">
      <c r="A159"/>
      <c r="B159"/>
      <c r="C159"/>
      <c r="D159"/>
      <c r="E159"/>
    </row>
    <row r="160" spans="1:5" x14ac:dyDescent="0.45">
      <c r="A160"/>
      <c r="B160"/>
      <c r="C160"/>
      <c r="D160"/>
      <c r="E160"/>
    </row>
    <row r="161" spans="1:5" x14ac:dyDescent="0.45">
      <c r="A161"/>
      <c r="B161"/>
      <c r="C161"/>
      <c r="D161"/>
      <c r="E161"/>
    </row>
    <row r="162" spans="1:5" x14ac:dyDescent="0.45">
      <c r="A162"/>
      <c r="B162"/>
      <c r="C162"/>
      <c r="D162"/>
      <c r="E162"/>
    </row>
    <row r="163" spans="1:5" x14ac:dyDescent="0.45">
      <c r="A163"/>
      <c r="B163"/>
      <c r="C163"/>
      <c r="D163"/>
      <c r="E163"/>
    </row>
    <row r="164" spans="1:5" x14ac:dyDescent="0.45">
      <c r="A164"/>
      <c r="B164"/>
      <c r="C164"/>
      <c r="D164"/>
      <c r="E164"/>
    </row>
    <row r="165" spans="1:5" x14ac:dyDescent="0.45">
      <c r="A165"/>
      <c r="B165"/>
      <c r="C165"/>
      <c r="D165"/>
      <c r="E165"/>
    </row>
    <row r="166" spans="1:5" x14ac:dyDescent="0.45">
      <c r="A166"/>
      <c r="B166"/>
      <c r="C166"/>
      <c r="D166"/>
      <c r="E166"/>
    </row>
    <row r="167" spans="1:5" x14ac:dyDescent="0.45">
      <c r="A167"/>
      <c r="B167"/>
      <c r="C167"/>
      <c r="D167"/>
      <c r="E167"/>
    </row>
    <row r="168" spans="1:5" x14ac:dyDescent="0.45">
      <c r="A168"/>
      <c r="B168"/>
      <c r="C168"/>
      <c r="D168"/>
      <c r="E168"/>
    </row>
    <row r="169" spans="1:5" x14ac:dyDescent="0.45">
      <c r="A169"/>
      <c r="B169"/>
      <c r="C169"/>
      <c r="D169"/>
      <c r="E169"/>
    </row>
    <row r="170" spans="1:5" x14ac:dyDescent="0.45">
      <c r="A170"/>
      <c r="B170"/>
      <c r="C170"/>
      <c r="D170"/>
      <c r="E170"/>
    </row>
    <row r="171" spans="1:5" x14ac:dyDescent="0.45">
      <c r="A171"/>
      <c r="B171"/>
      <c r="C171"/>
      <c r="D171"/>
      <c r="E171"/>
    </row>
    <row r="172" spans="1:5" x14ac:dyDescent="0.45">
      <c r="A172"/>
      <c r="B172"/>
      <c r="C172"/>
      <c r="D172"/>
      <c r="E172"/>
    </row>
    <row r="173" spans="1:5" x14ac:dyDescent="0.45">
      <c r="A173"/>
      <c r="B173"/>
      <c r="C173"/>
      <c r="D173"/>
      <c r="E173"/>
    </row>
    <row r="174" spans="1:5" x14ac:dyDescent="0.45">
      <c r="A174"/>
      <c r="B174"/>
      <c r="C174"/>
      <c r="D174"/>
      <c r="E174"/>
    </row>
    <row r="175" spans="1:5" x14ac:dyDescent="0.45">
      <c r="A175"/>
      <c r="B175"/>
      <c r="C175"/>
      <c r="D175"/>
      <c r="E175"/>
    </row>
    <row r="176" spans="1:5" x14ac:dyDescent="0.45">
      <c r="A176"/>
      <c r="B176"/>
      <c r="C176"/>
      <c r="D176"/>
      <c r="E176"/>
    </row>
    <row r="177" spans="1:5" x14ac:dyDescent="0.45">
      <c r="A177"/>
      <c r="B177"/>
      <c r="C177"/>
      <c r="D177"/>
      <c r="E177"/>
    </row>
    <row r="178" spans="1:5" x14ac:dyDescent="0.45">
      <c r="A178"/>
      <c r="B178"/>
      <c r="C178"/>
      <c r="D178"/>
      <c r="E178"/>
    </row>
    <row r="179" spans="1:5" x14ac:dyDescent="0.45">
      <c r="A179"/>
      <c r="B179"/>
      <c r="C179"/>
      <c r="D179"/>
      <c r="E179"/>
    </row>
    <row r="180" spans="1:5" x14ac:dyDescent="0.45">
      <c r="A180"/>
      <c r="B180"/>
      <c r="C180"/>
      <c r="D180"/>
      <c r="E180"/>
    </row>
    <row r="181" spans="1:5" x14ac:dyDescent="0.45">
      <c r="A181"/>
      <c r="B181"/>
      <c r="C181"/>
      <c r="D181"/>
      <c r="E181"/>
    </row>
    <row r="182" spans="1:5" x14ac:dyDescent="0.45">
      <c r="A182"/>
      <c r="B182"/>
      <c r="C182"/>
      <c r="D182"/>
      <c r="E182"/>
    </row>
    <row r="183" spans="1:5" x14ac:dyDescent="0.45">
      <c r="A183"/>
      <c r="B183"/>
      <c r="C183"/>
      <c r="D183"/>
      <c r="E183"/>
    </row>
    <row r="184" spans="1:5" x14ac:dyDescent="0.45">
      <c r="A184"/>
      <c r="B184"/>
      <c r="C184"/>
      <c r="D184"/>
      <c r="E184"/>
    </row>
    <row r="185" spans="1:5" x14ac:dyDescent="0.45">
      <c r="A185"/>
      <c r="B185"/>
      <c r="C185"/>
      <c r="D185"/>
      <c r="E185"/>
    </row>
    <row r="186" spans="1:5" x14ac:dyDescent="0.45">
      <c r="A186"/>
      <c r="B186"/>
      <c r="C186"/>
      <c r="D186"/>
      <c r="E186"/>
    </row>
    <row r="187" spans="1:5" x14ac:dyDescent="0.45">
      <c r="A187"/>
      <c r="B187"/>
      <c r="C187"/>
      <c r="D187"/>
      <c r="E187"/>
    </row>
    <row r="188" spans="1:5" x14ac:dyDescent="0.45">
      <c r="A188"/>
      <c r="B188"/>
      <c r="C188"/>
      <c r="D188"/>
      <c r="E188"/>
    </row>
    <row r="189" spans="1:5" x14ac:dyDescent="0.45">
      <c r="A189"/>
      <c r="B189"/>
      <c r="C189"/>
      <c r="D189"/>
      <c r="E189"/>
    </row>
    <row r="190" spans="1:5" x14ac:dyDescent="0.45">
      <c r="A190"/>
      <c r="B190"/>
      <c r="C190"/>
      <c r="D190"/>
      <c r="E190"/>
    </row>
    <row r="191" spans="1:5" x14ac:dyDescent="0.45">
      <c r="A191"/>
      <c r="B191"/>
      <c r="C191"/>
      <c r="D191"/>
      <c r="E191"/>
    </row>
    <row r="192" spans="1:5" x14ac:dyDescent="0.45">
      <c r="A192"/>
      <c r="B192"/>
      <c r="C192"/>
      <c r="D192"/>
      <c r="E192"/>
    </row>
    <row r="193" spans="1:5" x14ac:dyDescent="0.45">
      <c r="A193"/>
      <c r="B193"/>
      <c r="C193"/>
      <c r="D193"/>
      <c r="E193"/>
    </row>
    <row r="194" spans="1:5" x14ac:dyDescent="0.45">
      <c r="A194"/>
      <c r="B194"/>
      <c r="C194"/>
      <c r="D194"/>
      <c r="E194"/>
    </row>
    <row r="195" spans="1:5" x14ac:dyDescent="0.45">
      <c r="A195"/>
      <c r="B195"/>
      <c r="C195"/>
      <c r="D195"/>
      <c r="E195"/>
    </row>
    <row r="196" spans="1:5" x14ac:dyDescent="0.45">
      <c r="A196"/>
      <c r="B196"/>
      <c r="C196"/>
      <c r="D196"/>
      <c r="E196"/>
    </row>
    <row r="197" spans="1:5" x14ac:dyDescent="0.45">
      <c r="A197"/>
      <c r="B197"/>
      <c r="C197"/>
      <c r="D197"/>
      <c r="E197"/>
    </row>
    <row r="198" spans="1:5" x14ac:dyDescent="0.45">
      <c r="A198"/>
      <c r="B198"/>
      <c r="C198"/>
      <c r="D198"/>
      <c r="E198"/>
    </row>
    <row r="199" spans="1:5" x14ac:dyDescent="0.45">
      <c r="A199"/>
      <c r="B199"/>
      <c r="C199"/>
      <c r="D199"/>
      <c r="E199"/>
    </row>
    <row r="200" spans="1:5" x14ac:dyDescent="0.45">
      <c r="A200"/>
      <c r="B200"/>
      <c r="C200"/>
      <c r="D200"/>
      <c r="E200"/>
    </row>
    <row r="201" spans="1:5" x14ac:dyDescent="0.45">
      <c r="A201"/>
      <c r="B201"/>
      <c r="C201"/>
      <c r="D201"/>
      <c r="E201"/>
    </row>
    <row r="202" spans="1:5" x14ac:dyDescent="0.45">
      <c r="A202"/>
      <c r="B202"/>
      <c r="C202"/>
      <c r="D202"/>
      <c r="E202"/>
    </row>
    <row r="203" spans="1:5" x14ac:dyDescent="0.45">
      <c r="A203"/>
      <c r="B203"/>
      <c r="C203"/>
      <c r="D203"/>
      <c r="E203"/>
    </row>
    <row r="204" spans="1:5" x14ac:dyDescent="0.45">
      <c r="A204"/>
      <c r="B204"/>
      <c r="C204"/>
      <c r="D204"/>
      <c r="E204"/>
    </row>
    <row r="205" spans="1:5" x14ac:dyDescent="0.45">
      <c r="A205"/>
      <c r="B205"/>
      <c r="C205"/>
      <c r="D205"/>
      <c r="E205"/>
    </row>
    <row r="206" spans="1:5" x14ac:dyDescent="0.45">
      <c r="A206"/>
      <c r="B206"/>
      <c r="C206"/>
      <c r="D206"/>
      <c r="E206"/>
    </row>
    <row r="207" spans="1:5" x14ac:dyDescent="0.45">
      <c r="A207"/>
      <c r="B207"/>
      <c r="C207"/>
      <c r="D207"/>
      <c r="E207"/>
    </row>
    <row r="208" spans="1:5" x14ac:dyDescent="0.45">
      <c r="A208"/>
      <c r="B208"/>
      <c r="C208"/>
      <c r="D208"/>
      <c r="E208"/>
    </row>
    <row r="209" spans="1:5" x14ac:dyDescent="0.45">
      <c r="A209"/>
      <c r="B209"/>
      <c r="C209"/>
      <c r="D209"/>
      <c r="E209"/>
    </row>
    <row r="210" spans="1:5" x14ac:dyDescent="0.45">
      <c r="A210"/>
      <c r="B210"/>
      <c r="C210"/>
      <c r="D210"/>
      <c r="E210"/>
    </row>
    <row r="211" spans="1:5" x14ac:dyDescent="0.45">
      <c r="A211"/>
      <c r="B211"/>
      <c r="C211"/>
      <c r="D211"/>
      <c r="E211"/>
    </row>
    <row r="212" spans="1:5" x14ac:dyDescent="0.45">
      <c r="A212"/>
      <c r="B212"/>
      <c r="C212"/>
      <c r="D212"/>
      <c r="E212"/>
    </row>
    <row r="213" spans="1:5" x14ac:dyDescent="0.45">
      <c r="A213"/>
      <c r="B213"/>
      <c r="C213"/>
      <c r="D213"/>
      <c r="E213"/>
    </row>
    <row r="214" spans="1:5" x14ac:dyDescent="0.45">
      <c r="A214"/>
      <c r="B214"/>
      <c r="C214"/>
      <c r="D214"/>
      <c r="E214"/>
    </row>
    <row r="215" spans="1:5" x14ac:dyDescent="0.45">
      <c r="A215"/>
      <c r="B215"/>
      <c r="C215"/>
      <c r="D215"/>
      <c r="E215"/>
    </row>
    <row r="216" spans="1:5" x14ac:dyDescent="0.45">
      <c r="A216"/>
      <c r="B216"/>
      <c r="C216"/>
      <c r="D216"/>
      <c r="E216"/>
    </row>
    <row r="217" spans="1:5" x14ac:dyDescent="0.45">
      <c r="A217"/>
      <c r="B217"/>
      <c r="C217"/>
      <c r="D217"/>
      <c r="E217"/>
    </row>
    <row r="218" spans="1:5" x14ac:dyDescent="0.45">
      <c r="A218"/>
      <c r="B218"/>
      <c r="C218"/>
      <c r="D218"/>
      <c r="E218"/>
    </row>
    <row r="219" spans="1:5" x14ac:dyDescent="0.45">
      <c r="A219"/>
      <c r="B219"/>
      <c r="C219"/>
      <c r="D219"/>
      <c r="E219"/>
    </row>
    <row r="220" spans="1:5" x14ac:dyDescent="0.45">
      <c r="A220"/>
      <c r="B220"/>
      <c r="C220"/>
      <c r="D220"/>
      <c r="E220"/>
    </row>
    <row r="221" spans="1:5" x14ac:dyDescent="0.45">
      <c r="A221"/>
      <c r="B221"/>
      <c r="C221"/>
      <c r="D221"/>
      <c r="E221"/>
    </row>
    <row r="222" spans="1:5" x14ac:dyDescent="0.45">
      <c r="A222"/>
      <c r="B222"/>
      <c r="C222"/>
      <c r="D222"/>
      <c r="E222"/>
    </row>
    <row r="223" spans="1:5" x14ac:dyDescent="0.45">
      <c r="A223"/>
      <c r="B223"/>
      <c r="C223"/>
      <c r="D223"/>
      <c r="E223"/>
    </row>
    <row r="224" spans="1:5" x14ac:dyDescent="0.45">
      <c r="A224"/>
      <c r="B224"/>
      <c r="C224"/>
      <c r="D224"/>
      <c r="E224"/>
    </row>
    <row r="225" spans="1:5" x14ac:dyDescent="0.45">
      <c r="A225"/>
      <c r="B225"/>
      <c r="C225"/>
      <c r="D225"/>
      <c r="E225"/>
    </row>
    <row r="226" spans="1:5" x14ac:dyDescent="0.45">
      <c r="A226"/>
      <c r="B226"/>
      <c r="C226"/>
      <c r="D226"/>
      <c r="E226"/>
    </row>
    <row r="227" spans="1:5" x14ac:dyDescent="0.45">
      <c r="A227"/>
      <c r="B227"/>
      <c r="C227"/>
      <c r="D227"/>
      <c r="E227"/>
    </row>
    <row r="228" spans="1:5" x14ac:dyDescent="0.45">
      <c r="A228"/>
      <c r="B228"/>
      <c r="C228"/>
      <c r="D228"/>
      <c r="E228"/>
    </row>
    <row r="229" spans="1:5" x14ac:dyDescent="0.45">
      <c r="A229"/>
      <c r="B229"/>
      <c r="C229"/>
      <c r="D229"/>
      <c r="E229"/>
    </row>
    <row r="230" spans="1:5" x14ac:dyDescent="0.45">
      <c r="A230"/>
      <c r="B230"/>
      <c r="C230"/>
      <c r="D230"/>
      <c r="E230"/>
    </row>
    <row r="231" spans="1:5" x14ac:dyDescent="0.45">
      <c r="A231"/>
      <c r="B231"/>
      <c r="C231"/>
      <c r="D231"/>
      <c r="E231"/>
    </row>
    <row r="232" spans="1:5" x14ac:dyDescent="0.45">
      <c r="A232"/>
      <c r="B232"/>
      <c r="C232"/>
      <c r="D232"/>
      <c r="E232"/>
    </row>
    <row r="233" spans="1:5" x14ac:dyDescent="0.45">
      <c r="A233"/>
      <c r="B233"/>
      <c r="C233"/>
      <c r="D233"/>
      <c r="E233"/>
    </row>
    <row r="234" spans="1:5" x14ac:dyDescent="0.45">
      <c r="A234"/>
      <c r="B234"/>
      <c r="C234"/>
      <c r="D234"/>
      <c r="E234"/>
    </row>
    <row r="235" spans="1:5" x14ac:dyDescent="0.45">
      <c r="A235"/>
      <c r="B235"/>
      <c r="C235"/>
      <c r="D235"/>
      <c r="E235"/>
    </row>
    <row r="236" spans="1:5" x14ac:dyDescent="0.45">
      <c r="A236"/>
      <c r="B236"/>
      <c r="C236"/>
      <c r="D236"/>
      <c r="E236"/>
    </row>
    <row r="237" spans="1:5" x14ac:dyDescent="0.45">
      <c r="A237"/>
      <c r="B237"/>
      <c r="C237"/>
      <c r="D237"/>
      <c r="E237"/>
    </row>
    <row r="238" spans="1:5" x14ac:dyDescent="0.45">
      <c r="A238"/>
      <c r="B238"/>
      <c r="C238"/>
      <c r="D238"/>
      <c r="E238"/>
    </row>
    <row r="239" spans="1:5" x14ac:dyDescent="0.45">
      <c r="A239"/>
      <c r="B239"/>
      <c r="C239"/>
      <c r="D239"/>
      <c r="E239"/>
    </row>
    <row r="240" spans="1:5" x14ac:dyDescent="0.45">
      <c r="A240"/>
      <c r="B240"/>
      <c r="C240"/>
      <c r="D240"/>
      <c r="E240"/>
    </row>
    <row r="241" spans="1:5" x14ac:dyDescent="0.45">
      <c r="A241"/>
      <c r="B241"/>
      <c r="C241"/>
      <c r="D241"/>
      <c r="E241"/>
    </row>
    <row r="242" spans="1:5" x14ac:dyDescent="0.45">
      <c r="A242"/>
      <c r="B242"/>
      <c r="C242"/>
      <c r="D242"/>
      <c r="E242"/>
    </row>
    <row r="243" spans="1:5" x14ac:dyDescent="0.45">
      <c r="A243"/>
      <c r="B243"/>
      <c r="C243"/>
      <c r="D243"/>
      <c r="E243"/>
    </row>
    <row r="244" spans="1:5" x14ac:dyDescent="0.45">
      <c r="A244"/>
      <c r="B244"/>
      <c r="C244"/>
      <c r="D244"/>
      <c r="E244"/>
    </row>
    <row r="245" spans="1:5" x14ac:dyDescent="0.45">
      <c r="A245"/>
      <c r="B245"/>
      <c r="C245"/>
      <c r="D245"/>
      <c r="E245"/>
    </row>
    <row r="246" spans="1:5" x14ac:dyDescent="0.45">
      <c r="A246"/>
      <c r="B246"/>
      <c r="C246"/>
      <c r="D246"/>
      <c r="E246"/>
    </row>
    <row r="247" spans="1:5" x14ac:dyDescent="0.45">
      <c r="A247"/>
      <c r="B247"/>
      <c r="C247"/>
      <c r="D247"/>
      <c r="E247"/>
    </row>
    <row r="248" spans="1:5" x14ac:dyDescent="0.45">
      <c r="A248"/>
      <c r="B248"/>
      <c r="C248"/>
      <c r="D248"/>
      <c r="E248"/>
    </row>
    <row r="249" spans="1:5" x14ac:dyDescent="0.45">
      <c r="A249"/>
      <c r="B249"/>
      <c r="C249"/>
      <c r="D249"/>
      <c r="E249"/>
    </row>
    <row r="250" spans="1:5" x14ac:dyDescent="0.45">
      <c r="A250"/>
      <c r="B250"/>
      <c r="C250"/>
      <c r="D250"/>
      <c r="E250"/>
    </row>
    <row r="251" spans="1:5" x14ac:dyDescent="0.45">
      <c r="A251"/>
      <c r="B251"/>
      <c r="C251"/>
      <c r="D251"/>
      <c r="E251"/>
    </row>
    <row r="252" spans="1:5" x14ac:dyDescent="0.45">
      <c r="A252"/>
      <c r="B252"/>
      <c r="C252"/>
      <c r="D252"/>
      <c r="E252"/>
    </row>
    <row r="253" spans="1:5" x14ac:dyDescent="0.45">
      <c r="A253"/>
      <c r="B253"/>
      <c r="C253"/>
      <c r="D253"/>
      <c r="E253"/>
    </row>
    <row r="254" spans="1:5" x14ac:dyDescent="0.45">
      <c r="A254"/>
      <c r="B254"/>
      <c r="C254"/>
      <c r="D254"/>
      <c r="E254"/>
    </row>
    <row r="255" spans="1:5" x14ac:dyDescent="0.45">
      <c r="A255"/>
      <c r="B255"/>
      <c r="C255"/>
      <c r="D255"/>
      <c r="E255"/>
    </row>
    <row r="256" spans="1:5" x14ac:dyDescent="0.45">
      <c r="A256"/>
      <c r="B256"/>
      <c r="C256"/>
      <c r="D256"/>
      <c r="E256"/>
    </row>
    <row r="257" spans="1:5" x14ac:dyDescent="0.45">
      <c r="A257"/>
      <c r="B257"/>
      <c r="C257"/>
      <c r="D257"/>
      <c r="E257"/>
    </row>
    <row r="258" spans="1:5" x14ac:dyDescent="0.45">
      <c r="A258"/>
      <c r="B258"/>
      <c r="C258"/>
      <c r="D258"/>
      <c r="E258"/>
    </row>
    <row r="259" spans="1:5" x14ac:dyDescent="0.45">
      <c r="A259"/>
      <c r="B259"/>
      <c r="C259"/>
      <c r="D259"/>
      <c r="E259"/>
    </row>
    <row r="260" spans="1:5" x14ac:dyDescent="0.45">
      <c r="A260"/>
      <c r="B260"/>
      <c r="C260"/>
      <c r="D260"/>
      <c r="E260"/>
    </row>
    <row r="261" spans="1:5" x14ac:dyDescent="0.45">
      <c r="A261"/>
      <c r="B261"/>
      <c r="C261"/>
      <c r="D261"/>
      <c r="E261"/>
    </row>
    <row r="262" spans="1:5" x14ac:dyDescent="0.45">
      <c r="A262"/>
      <c r="B262"/>
      <c r="C262"/>
      <c r="D262"/>
      <c r="E262"/>
    </row>
    <row r="263" spans="1:5" x14ac:dyDescent="0.45">
      <c r="A263"/>
      <c r="B263"/>
      <c r="C263"/>
      <c r="D263"/>
      <c r="E263"/>
    </row>
    <row r="264" spans="1:5" x14ac:dyDescent="0.45">
      <c r="A264"/>
      <c r="B264"/>
      <c r="C264"/>
      <c r="D264"/>
      <c r="E264"/>
    </row>
    <row r="265" spans="1:5" x14ac:dyDescent="0.45">
      <c r="A265"/>
      <c r="B265"/>
      <c r="C265"/>
      <c r="D265"/>
      <c r="E265"/>
    </row>
    <row r="266" spans="1:5" x14ac:dyDescent="0.45">
      <c r="A266"/>
      <c r="B266"/>
      <c r="C266"/>
      <c r="D266"/>
      <c r="E266"/>
    </row>
    <row r="267" spans="1:5" x14ac:dyDescent="0.45">
      <c r="A267"/>
      <c r="B267"/>
      <c r="C267"/>
      <c r="D267"/>
      <c r="E267"/>
    </row>
    <row r="268" spans="1:5" x14ac:dyDescent="0.45">
      <c r="A268"/>
      <c r="B268"/>
      <c r="C268"/>
      <c r="D268"/>
      <c r="E268"/>
    </row>
    <row r="269" spans="1:5" x14ac:dyDescent="0.45">
      <c r="A269"/>
      <c r="B269"/>
      <c r="C269"/>
      <c r="D269"/>
      <c r="E269"/>
    </row>
    <row r="270" spans="1:5" x14ac:dyDescent="0.45">
      <c r="A270"/>
      <c r="B270"/>
      <c r="C270"/>
      <c r="D270"/>
      <c r="E270"/>
    </row>
    <row r="271" spans="1:5" x14ac:dyDescent="0.45">
      <c r="A271"/>
      <c r="B271"/>
      <c r="C271"/>
      <c r="D271"/>
      <c r="E271"/>
    </row>
    <row r="272" spans="1:5" x14ac:dyDescent="0.45">
      <c r="A272"/>
      <c r="B272"/>
      <c r="C272"/>
      <c r="D272"/>
      <c r="E272"/>
    </row>
    <row r="273" spans="1:5" x14ac:dyDescent="0.45">
      <c r="A273"/>
      <c r="B273"/>
      <c r="C273"/>
      <c r="D273"/>
      <c r="E273"/>
    </row>
    <row r="274" spans="1:5" x14ac:dyDescent="0.45">
      <c r="A274"/>
      <c r="B274"/>
      <c r="C274"/>
      <c r="D274"/>
      <c r="E274"/>
    </row>
    <row r="275" spans="1:5" x14ac:dyDescent="0.45">
      <c r="A275"/>
      <c r="B275"/>
      <c r="C275"/>
      <c r="D275"/>
      <c r="E275"/>
    </row>
    <row r="276" spans="1:5" x14ac:dyDescent="0.45">
      <c r="A276"/>
      <c r="B276"/>
      <c r="C276"/>
      <c r="D276"/>
      <c r="E276"/>
    </row>
    <row r="277" spans="1:5" x14ac:dyDescent="0.45">
      <c r="A277"/>
      <c r="B277"/>
      <c r="C277"/>
      <c r="D277"/>
      <c r="E277"/>
    </row>
    <row r="278" spans="1:5" x14ac:dyDescent="0.45">
      <c r="A278"/>
      <c r="B278"/>
      <c r="C278"/>
      <c r="D278"/>
      <c r="E278"/>
    </row>
    <row r="279" spans="1:5" x14ac:dyDescent="0.45">
      <c r="A279"/>
      <c r="B279"/>
      <c r="C279"/>
      <c r="D279"/>
      <c r="E279"/>
    </row>
    <row r="280" spans="1:5" x14ac:dyDescent="0.45">
      <c r="A280"/>
      <c r="B280"/>
      <c r="C280"/>
      <c r="D280"/>
      <c r="E280"/>
    </row>
    <row r="281" spans="1:5" x14ac:dyDescent="0.45">
      <c r="A281"/>
      <c r="B281"/>
      <c r="C281"/>
      <c r="D281"/>
      <c r="E281"/>
    </row>
    <row r="282" spans="1:5" x14ac:dyDescent="0.45">
      <c r="A282"/>
      <c r="B282"/>
      <c r="C282"/>
      <c r="D282"/>
      <c r="E282"/>
    </row>
    <row r="283" spans="1:5" x14ac:dyDescent="0.45">
      <c r="A283"/>
      <c r="B283"/>
      <c r="C283"/>
      <c r="D283"/>
      <c r="E283"/>
    </row>
    <row r="284" spans="1:5" x14ac:dyDescent="0.45">
      <c r="A284"/>
      <c r="B284"/>
      <c r="C284"/>
      <c r="D284"/>
      <c r="E284"/>
    </row>
    <row r="285" spans="1:5" x14ac:dyDescent="0.45">
      <c r="A285"/>
      <c r="B285"/>
      <c r="C285"/>
      <c r="D285"/>
      <c r="E285"/>
    </row>
    <row r="286" spans="1:5" x14ac:dyDescent="0.45">
      <c r="A286"/>
      <c r="B286"/>
      <c r="C286"/>
      <c r="D286"/>
      <c r="E286"/>
    </row>
  </sheetData>
  <sheetProtection sort="0" autoFilter="0" pivotTables="0"/>
  <pageMargins left="0.7" right="0.7" top="0.75" bottom="0.75" header="0.3" footer="0.3"/>
  <pageSetup orientation="portrait" horizontalDpi="300" verticalDpi="300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 tint="0.59999389629810485"/>
  </sheetPr>
  <dimension ref="A1:D6"/>
  <sheetViews>
    <sheetView showGridLines="0" workbookViewId="0">
      <selection activeCell="K13" sqref="K13"/>
    </sheetView>
  </sheetViews>
  <sheetFormatPr baseColWidth="10" defaultRowHeight="14.5" x14ac:dyDescent="0.35"/>
  <cols>
    <col min="1" max="1" width="25.08984375" style="20" customWidth="1"/>
    <col min="2" max="2" width="22.90625" style="20" customWidth="1"/>
    <col min="4" max="4" width="17" bestFit="1" customWidth="1"/>
  </cols>
  <sheetData>
    <row r="1" spans="1:4" ht="24.75" customHeight="1" x14ac:dyDescent="0.35">
      <c r="A1" s="21" t="s">
        <v>31</v>
      </c>
      <c r="B1" s="21" t="s">
        <v>28</v>
      </c>
      <c r="D1" s="31" t="s">
        <v>36</v>
      </c>
    </row>
    <row r="2" spans="1:4" x14ac:dyDescent="0.35">
      <c r="A2" s="25" t="s">
        <v>6</v>
      </c>
      <c r="B2" s="24">
        <v>7.0000000000000007E-2</v>
      </c>
      <c r="D2" s="29" t="s">
        <v>24</v>
      </c>
    </row>
    <row r="3" spans="1:4" ht="15" thickBot="1" x14ac:dyDescent="0.4">
      <c r="A3" s="25" t="s">
        <v>7</v>
      </c>
      <c r="B3" s="24">
        <v>7.0000000000000007E-2</v>
      </c>
      <c r="D3" s="30" t="s">
        <v>29</v>
      </c>
    </row>
    <row r="4" spans="1:4" x14ac:dyDescent="0.35">
      <c r="A4" s="25" t="s">
        <v>8</v>
      </c>
      <c r="B4" s="24">
        <v>0.1</v>
      </c>
    </row>
    <row r="5" spans="1:4" x14ac:dyDescent="0.35">
      <c r="A5" s="25" t="s">
        <v>9</v>
      </c>
      <c r="B5" s="24">
        <v>0.1</v>
      </c>
    </row>
    <row r="6" spans="1:4" x14ac:dyDescent="0.35">
      <c r="A6" s="25" t="s">
        <v>10</v>
      </c>
      <c r="B6" s="24">
        <v>0.15</v>
      </c>
    </row>
  </sheetData>
  <pageMargins left="0.7" right="0.7" top="0.75" bottom="0.75" header="0.3" footer="0.3"/>
  <tableParts count="1">
    <tablePart r:id="rId1"/>
  </tableParts>
</worksheet>
</file>

<file path=customUI/_rels/customUI14.xml.rels><?xml version="1.0" encoding="UTF-8" standalone="yes"?>
<Relationships xmlns="http://schemas.openxmlformats.org/package/2006/relationships"><Relationship Id="List_32" Type="http://schemas.openxmlformats.org/officeDocument/2006/relationships/image" Target="images/List_32.ico"/><Relationship Id="Tienda_32" Type="http://schemas.openxmlformats.org/officeDocument/2006/relationships/image" Target="images/Tienda_32.ico"/><Relationship Id="Import_32" Type="http://schemas.openxmlformats.org/officeDocument/2006/relationships/image" Target="images/Import_32.ico"/><Relationship Id="excel1" Type="http://schemas.openxmlformats.org/officeDocument/2006/relationships/image" Target="images/excel1.ico"/><Relationship Id="file_32" Type="http://schemas.openxmlformats.org/officeDocument/2006/relationships/image" Target="images/file_32.ico"/><Relationship Id="Comi1" Type="http://schemas.openxmlformats.org/officeDocument/2006/relationships/image" Target="images/Comi1.ico"/><Relationship Id="Save_32" Type="http://schemas.openxmlformats.org/officeDocument/2006/relationships/image" Target="images/Save_32.ico"/><Relationship Id="Tabla_48" Type="http://schemas.openxmlformats.org/officeDocument/2006/relationships/image" Target="images/Tabla_48.ico"/></Relationships>
</file>

<file path=customUI/customUI14.xml><?xml version="1.0" encoding="utf-8"?>
<customUI xmlns="http://schemas.microsoft.com/office/2009/07/customui" onLoad="Ribbon.CargarCinta">
  <ribbon startFromScratch="false">
    <tabs>
      <tab id="Tab1" label="Registro">
        <group id="Group1" label="Resumen">
          <button id="Button1" label="Principal" image="Tienda_32" size="large" getEnabled="Ribbon.DesactivarBoton1" onAction="Boton1"/>
        </group>
        <group id="Group2" label="Datos">
          <button id="Button2" label="Factura" image="Comi1" size="large" getEnabled="Ribbon.DesactivarBoton2" onAction="Boton2"/>
          <button id="Button3" label="Nota" image="file_32" size="large" getEnabled="Ribbon.DesactivarBoton3" onAction="Boton3"/>
          <button id="Button4" label="Cierre" image="excel1" size="large" getEnabled="Ribbon.DesactivarBoton4" onAction="Boton4"/>
        </group>
        <group id="Group3" label="Guardar">
          <button id="Button5" label="Guardar" image="Save_32" size="large" getEnabled="Ribbon.DesactivarBoton5" onAction="Boton5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RESUMEN</vt:lpstr>
      <vt:lpstr>FACTURA</vt:lpstr>
      <vt:lpstr>NOTA CREDITO</vt:lpstr>
      <vt:lpstr>DIARIO</vt:lpstr>
      <vt:lpstr>REVISION</vt:lpstr>
      <vt:lpstr>ANALISIS</vt:lpstr>
      <vt:lpstr>CRITERIOS</vt:lpstr>
      <vt:lpstr>FACTURA</vt:lpstr>
      <vt:lpstr>NOTA_DE_CREDITO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Recepcion</dc:creator>
  <cp:lastModifiedBy>Usuario de Windows</cp:lastModifiedBy>
  <cp:lastPrinted>2020-06-02T23:15:27Z</cp:lastPrinted>
  <dcterms:created xsi:type="dcterms:W3CDTF">2019-03-19T21:49:47Z</dcterms:created>
  <dcterms:modified xsi:type="dcterms:W3CDTF">2022-12-23T15:01:32Z</dcterms:modified>
</cp:coreProperties>
</file>